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7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36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35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39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ibutions" sheetId="1" r:id="rId5"/>
    <sheet state="visible" name="Loan Ledger" sheetId="2" r:id="rId6"/>
    <sheet state="visible" name="Loan Ledger 05" sheetId="3" r:id="rId7"/>
    <sheet state="visible" name="Loan Ledger 04" sheetId="4" r:id="rId8"/>
    <sheet state="visible" name="Loan Ledger 03" sheetId="5" r:id="rId9"/>
    <sheet state="visible" name="Loan Ledger 02" sheetId="6" r:id="rId10"/>
    <sheet state="visible" name="Loan Ledger 01" sheetId="7" r:id="rId11"/>
    <sheet state="visible" name="Balance Sheet" sheetId="8" r:id="rId12"/>
  </sheets>
  <definedNames>
    <definedName hidden="1" localSheetId="1" name="_xlnm._FilterDatabase">'Loan Ledger'!$J$1:$J$37</definedName>
    <definedName hidden="1" localSheetId="2" name="_xlnm._FilterDatabase">'Loan Ledger 05'!$J$1:$J$1000</definedName>
    <definedName hidden="1" localSheetId="3" name="_xlnm._FilterDatabase">'Loan Ledger 04'!$J$1:$J$37</definedName>
    <definedName hidden="1" localSheetId="4" name="_xlnm._FilterDatabase">'Loan Ledger 03'!$J$1:$J$37</definedName>
    <definedName hidden="1" localSheetId="5" name="_xlnm._FilterDatabase">'Loan Ledger 02'!$J$1:$J$37</definedName>
    <definedName hidden="1" localSheetId="6" name="_xlnm._FilterDatabase">'Loan Ledger 01'!$J$1:$J$37</definedName>
  </definedNames>
  <calcPr/>
</workbook>
</file>

<file path=xl/sharedStrings.xml><?xml version="1.0" encoding="utf-8"?>
<sst xmlns="http://schemas.openxmlformats.org/spreadsheetml/2006/main" count="1208" uniqueCount="113">
  <si>
    <t>No.</t>
  </si>
  <si>
    <t>Name</t>
  </si>
  <si>
    <t>Contribution</t>
  </si>
  <si>
    <t>Number</t>
  </si>
  <si>
    <t>Sandesh</t>
  </si>
  <si>
    <t>6362756793</t>
  </si>
  <si>
    <t>Pavan</t>
  </si>
  <si>
    <t>9148783568</t>
  </si>
  <si>
    <t>Patha</t>
  </si>
  <si>
    <t>8197331497</t>
  </si>
  <si>
    <t>Teja</t>
  </si>
  <si>
    <t>9980548012</t>
  </si>
  <si>
    <t>Bheema</t>
  </si>
  <si>
    <t>8088955351</t>
  </si>
  <si>
    <t>Rohit Shivaji</t>
  </si>
  <si>
    <t>9686122502</t>
  </si>
  <si>
    <t>Naveen</t>
  </si>
  <si>
    <t>9901541166</t>
  </si>
  <si>
    <t>Laxmana</t>
  </si>
  <si>
    <t>7090929149</t>
  </si>
  <si>
    <t>Suri</t>
  </si>
  <si>
    <t>7349014287</t>
  </si>
  <si>
    <t>Pradeep Teja</t>
  </si>
  <si>
    <t>9535000057</t>
  </si>
  <si>
    <t>Patil</t>
  </si>
  <si>
    <t>6362119339</t>
  </si>
  <si>
    <t>Sachina Sadda</t>
  </si>
  <si>
    <t>8310698282</t>
  </si>
  <si>
    <t>Loknath</t>
  </si>
  <si>
    <t>7892645285</t>
  </si>
  <si>
    <t>Puneet</t>
  </si>
  <si>
    <t>8971891148</t>
  </si>
  <si>
    <t>Naveen-police</t>
  </si>
  <si>
    <t>9844866616</t>
  </si>
  <si>
    <t>Harsha</t>
  </si>
  <si>
    <t>6360156257</t>
  </si>
  <si>
    <t>Hamya</t>
  </si>
  <si>
    <t>9844515074</t>
  </si>
  <si>
    <t>Sagar</t>
  </si>
  <si>
    <t>7090922331</t>
  </si>
  <si>
    <t>Pilla</t>
  </si>
  <si>
    <t>7760137253</t>
  </si>
  <si>
    <t>Bukka</t>
  </si>
  <si>
    <t>8495973672</t>
  </si>
  <si>
    <t>Amruth</t>
  </si>
  <si>
    <t>9535254727</t>
  </si>
  <si>
    <t>Prasad</t>
  </si>
  <si>
    <t>9900141434</t>
  </si>
  <si>
    <t>Dilip</t>
  </si>
  <si>
    <t>9620103061</t>
  </si>
  <si>
    <t>Nikki</t>
  </si>
  <si>
    <t>8095389471</t>
  </si>
  <si>
    <t>Manu</t>
  </si>
  <si>
    <t>9108165325</t>
  </si>
  <si>
    <t>Gili</t>
  </si>
  <si>
    <t>8618781658</t>
  </si>
  <si>
    <t>Koli</t>
  </si>
  <si>
    <t>8088637226</t>
  </si>
  <si>
    <t>Charko</t>
  </si>
  <si>
    <t>6363109059</t>
  </si>
  <si>
    <t>Doli</t>
  </si>
  <si>
    <t>6361203434</t>
  </si>
  <si>
    <t>Sudeep</t>
  </si>
  <si>
    <t>9535831413</t>
  </si>
  <si>
    <t>Kalo Tammi</t>
  </si>
  <si>
    <t>7483581470</t>
  </si>
  <si>
    <t>Veda</t>
  </si>
  <si>
    <t>9591035962</t>
  </si>
  <si>
    <t>Sampi</t>
  </si>
  <si>
    <t>6361511601</t>
  </si>
  <si>
    <t>Lavan</t>
  </si>
  <si>
    <t>0914878356</t>
  </si>
  <si>
    <t>Tamma - Sitava</t>
  </si>
  <si>
    <t>6361168826</t>
  </si>
  <si>
    <t>No</t>
  </si>
  <si>
    <t>Loan</t>
  </si>
  <si>
    <t>Share</t>
  </si>
  <si>
    <t>interest</t>
  </si>
  <si>
    <t>Repay</t>
  </si>
  <si>
    <t>Due on</t>
  </si>
  <si>
    <t>G1</t>
  </si>
  <si>
    <t>G2</t>
  </si>
  <si>
    <t>Status</t>
  </si>
  <si>
    <t>14-Mar-2026</t>
  </si>
  <si>
    <t>Pending</t>
  </si>
  <si>
    <t>NA</t>
  </si>
  <si>
    <t>Laxman</t>
  </si>
  <si>
    <t>No Loan</t>
  </si>
  <si>
    <t>Naveen P</t>
  </si>
  <si>
    <t>Dileep</t>
  </si>
  <si>
    <t>Sadda</t>
  </si>
  <si>
    <t>-</t>
  </si>
  <si>
    <t>14-Jan-2026</t>
  </si>
  <si>
    <t>Settled</t>
  </si>
  <si>
    <t>Transferred</t>
  </si>
  <si>
    <t>15-Oct-2025</t>
  </si>
  <si>
    <t>Sundar</t>
  </si>
  <si>
    <t>Pradeep</t>
  </si>
  <si>
    <t>Pata</t>
  </si>
  <si>
    <t>Sudeepa</t>
  </si>
  <si>
    <t>Tamma</t>
  </si>
  <si>
    <t>Tammi</t>
  </si>
  <si>
    <t>Month</t>
  </si>
  <si>
    <t>Open Balance</t>
  </si>
  <si>
    <t>Interest Earned</t>
  </si>
  <si>
    <t>Monthly Share</t>
  </si>
  <si>
    <t>Closing Balance</t>
  </si>
  <si>
    <t>Sep-25</t>
  </si>
  <si>
    <t>Oct-25</t>
  </si>
  <si>
    <t>Nov-25</t>
  </si>
  <si>
    <t>Dec-25</t>
  </si>
  <si>
    <t>Jan-26</t>
  </si>
  <si>
    <t>Feb-26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</si>
</sst>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₹]#,##0.00"/>
  </numFmts>
  <fonts count="11">
    <font>
      <sz val="10.0"/>
      <color rgb="FF000000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color rgb="FF00FF00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color rgb="FF434343"/>
      <name val="Roboto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164" xfId="0" applyAlignment="1" applyBorder="1" applyFont="1" applyNumberFormat="1">
      <alignment readingOrder="0" vertical="bottom"/>
    </xf>
    <xf borderId="1" fillId="0" fontId="2" numFmtId="49" xfId="0" applyAlignment="1" applyBorder="1" applyFont="1" applyNumberFormat="1">
      <alignment horizontal="right" readingOrder="0" vertical="bottom"/>
    </xf>
    <xf borderId="1" fillId="2" fontId="2" numFmtId="0" xfId="0" applyAlignment="1" applyBorder="1" applyFill="1" applyFont="1">
      <alignment horizontal="right" vertical="bottom"/>
    </xf>
    <xf borderId="1" fillId="0" fontId="3" numFmtId="0" xfId="0" applyAlignment="1" applyBorder="1" applyFont="1">
      <alignment readingOrder="0"/>
    </xf>
    <xf borderId="1" fillId="0" fontId="2" numFmtId="164" xfId="0" applyAlignment="1" applyBorder="1" applyFont="1" applyNumberFormat="1">
      <alignment horizontal="right" vertical="bottom"/>
    </xf>
    <xf borderId="1" fillId="3" fontId="2" numFmtId="0" xfId="0" applyAlignment="1" applyBorder="1" applyFill="1" applyFont="1">
      <alignment readingOrder="0" vertical="bottom"/>
    </xf>
    <xf borderId="1" fillId="0" fontId="2" numFmtId="164" xfId="0" applyAlignment="1" applyBorder="1" applyFont="1" applyNumberFormat="1">
      <alignment horizontal="right" readingOrder="0" vertical="bottom"/>
    </xf>
    <xf borderId="1" fillId="4" fontId="2" numFmtId="0" xfId="0" applyAlignment="1" applyBorder="1" applyFill="1" applyFont="1">
      <alignment horizontal="right" vertical="bottom"/>
    </xf>
    <xf borderId="1" fillId="3" fontId="2" numFmtId="164" xfId="0" applyAlignment="1" applyBorder="1" applyFont="1" applyNumberFormat="1">
      <alignment horizontal="right" readingOrder="0" vertical="bottom"/>
    </xf>
    <xf borderId="1" fillId="3" fontId="2" numFmtId="49" xfId="0" applyAlignment="1" applyBorder="1" applyFont="1" applyNumberFormat="1">
      <alignment horizontal="right" readingOrder="0" vertical="bottom"/>
    </xf>
    <xf borderId="1" fillId="5" fontId="2" numFmtId="0" xfId="0" applyAlignment="1" applyBorder="1" applyFill="1" applyFont="1">
      <alignment readingOrder="0" vertical="bottom"/>
    </xf>
    <xf borderId="1" fillId="0" fontId="4" numFmtId="0" xfId="0" applyAlignment="1" applyBorder="1" applyFont="1">
      <alignment readingOrder="0"/>
    </xf>
    <xf borderId="1" fillId="0" fontId="4" numFmtId="164" xfId="0" applyAlignment="1" applyBorder="1" applyFont="1" applyNumberFormat="1">
      <alignment readingOrder="0"/>
    </xf>
    <xf borderId="1" fillId="0" fontId="4" numFmtId="49" xfId="0" applyAlignment="1" applyBorder="1" applyFont="1" applyNumberFormat="1">
      <alignment horizontal="right" readingOrder="0"/>
    </xf>
    <xf borderId="1" fillId="6" fontId="2" numFmtId="0" xfId="0" applyAlignment="1" applyBorder="1" applyFill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49" xfId="0" applyAlignment="1" applyFont="1" applyNumberFormat="1">
      <alignment horizontal="right" readingOrder="0" vertical="bottom"/>
    </xf>
    <xf borderId="1" fillId="0" fontId="5" numFmtId="0" xfId="0" applyAlignment="1" applyBorder="1" applyFont="1">
      <alignment vertical="bottom"/>
    </xf>
    <xf borderId="1" fillId="0" fontId="5" numFmtId="49" xfId="0" applyAlignment="1" applyBorder="1" applyFont="1" applyNumberFormat="1">
      <alignment vertical="bottom"/>
    </xf>
    <xf borderId="1" fillId="0" fontId="5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right" vertical="bottom"/>
    </xf>
    <xf borderId="1" fillId="0" fontId="6" numFmtId="0" xfId="0" applyAlignment="1" applyBorder="1" applyFont="1">
      <alignment vertical="bottom"/>
    </xf>
    <xf borderId="1" fillId="5" fontId="2" numFmtId="164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horizontal="right" vertical="bottom"/>
    </xf>
    <xf borderId="1" fillId="0" fontId="6" numFmtId="164" xfId="0" applyAlignment="1" applyBorder="1" applyFont="1" applyNumberFormat="1">
      <alignment horizontal="right" vertical="bottom"/>
    </xf>
    <xf borderId="1" fillId="0" fontId="6" numFmtId="49" xfId="0" applyAlignment="1" applyBorder="1" applyFont="1" applyNumberFormat="1">
      <alignment readingOrder="0" vertical="bottom"/>
    </xf>
    <xf borderId="2" fillId="5" fontId="7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readingOrder="0" vertical="bottom"/>
    </xf>
    <xf borderId="1" fillId="0" fontId="2" numFmtId="0" xfId="0" applyAlignment="1" applyBorder="1" applyFont="1">
      <alignment vertical="bottom"/>
    </xf>
    <xf borderId="1" fillId="0" fontId="6" numFmtId="164" xfId="0" applyAlignment="1" applyBorder="1" applyFont="1" applyNumberFormat="1">
      <alignment horizontal="right" readingOrder="0" vertical="bottom"/>
    </xf>
    <xf borderId="1" fillId="7" fontId="7" numFmtId="0" xfId="0" applyAlignment="1" applyBorder="1" applyFill="1" applyFont="1">
      <alignment shrinkToFit="0" vertical="bottom" wrapText="0"/>
    </xf>
    <xf borderId="1" fillId="5" fontId="2" numFmtId="164" xfId="0" applyAlignment="1" applyBorder="1" applyFont="1" applyNumberFormat="1">
      <alignment horizontal="right" vertical="bottom"/>
    </xf>
    <xf borderId="1" fillId="5" fontId="2" numFmtId="0" xfId="0" applyAlignment="1" applyBorder="1" applyFont="1">
      <alignment vertical="bottom"/>
    </xf>
    <xf borderId="1" fillId="0" fontId="6" numFmtId="0" xfId="0" applyAlignment="1" applyBorder="1" applyFont="1">
      <alignment horizontal="right" readingOrder="0" vertical="bottom"/>
    </xf>
    <xf borderId="3" fillId="7" fontId="7" numFmtId="0" xfId="0" applyAlignment="1" applyBorder="1" applyFont="1">
      <alignment shrinkToFit="0" vertical="bottom" wrapText="0"/>
    </xf>
    <xf borderId="1" fillId="2" fontId="8" numFmtId="164" xfId="0" applyAlignment="1" applyBorder="1" applyFont="1" applyNumberFormat="1">
      <alignment horizontal="right" vertical="bottom"/>
    </xf>
    <xf borderId="1" fillId="2" fontId="8" numFmtId="0" xfId="0" applyAlignment="1" applyBorder="1" applyFont="1">
      <alignment horizontal="right" vertical="bottom"/>
    </xf>
    <xf borderId="1" fillId="0" fontId="6" numFmtId="49" xfId="0" applyAlignment="1" applyBorder="1" applyFont="1" applyNumberFormat="1">
      <alignment vertical="bottom"/>
    </xf>
    <xf borderId="1" fillId="2" fontId="6" numFmtId="164" xfId="0" applyAlignment="1" applyBorder="1" applyFont="1" applyNumberFormat="1">
      <alignment horizontal="right" vertical="bottom"/>
    </xf>
    <xf borderId="1" fillId="0" fontId="9" numFmtId="0" xfId="0" applyAlignment="1" applyBorder="1" applyFont="1">
      <alignment readingOrder="0"/>
    </xf>
    <xf borderId="1" fillId="0" fontId="9" numFmtId="49" xfId="0" applyAlignment="1" applyBorder="1" applyFont="1" applyNumberFormat="1">
      <alignment readingOrder="0"/>
    </xf>
    <xf borderId="1" fillId="0" fontId="4" numFmtId="164" xfId="0" applyBorder="1" applyFont="1" applyNumberFormat="1"/>
    <xf borderId="1" fillId="0" fontId="4" numFmtId="49" xfId="0" applyAlignment="1" applyBorder="1" applyFont="1" applyNumberFormat="1">
      <alignment readingOrder="0"/>
    </xf>
    <xf borderId="2" fillId="5" fontId="7" numFmtId="0" xfId="0" applyAlignment="1" applyBorder="1" applyFont="1">
      <alignment shrinkToFit="0" wrapText="0"/>
    </xf>
    <xf borderId="1" fillId="5" fontId="7" numFmtId="0" xfId="0" applyAlignment="1" applyBorder="1" applyFont="1">
      <alignment readingOrder="0" shrinkToFit="0" wrapText="0"/>
    </xf>
    <xf borderId="1" fillId="5" fontId="6" numFmtId="164" xfId="0" applyAlignment="1" applyBorder="1" applyFont="1" applyNumberFormat="1">
      <alignment horizontal="right" readingOrder="0" vertical="bottom"/>
    </xf>
    <xf borderId="3" fillId="7" fontId="7" numFmtId="0" xfId="0" applyAlignment="1" applyBorder="1" applyFont="1">
      <alignment shrinkToFit="0" wrapText="0"/>
    </xf>
    <xf borderId="1" fillId="2" fontId="10" numFmtId="164" xfId="0" applyBorder="1" applyFont="1" applyNumberFormat="1"/>
    <xf borderId="1" fillId="2" fontId="10" numFmtId="0" xfId="0" applyBorder="1" applyFont="1"/>
    <xf borderId="1" fillId="0" fontId="4" numFmtId="49" xfId="0" applyBorder="1" applyFont="1" applyNumberFormat="1"/>
    <xf borderId="1" fillId="0" fontId="4" numFmtId="0" xfId="0" applyBorder="1" applyFont="1"/>
    <xf borderId="0" fillId="0" fontId="4" numFmtId="0" xfId="0" applyAlignment="1" applyFont="1">
      <alignment readingOrder="0"/>
    </xf>
    <xf borderId="0" fillId="2" fontId="10" numFmtId="164" xfId="0" applyFont="1" applyNumberFormat="1"/>
    <xf borderId="0" fillId="2" fontId="10" numFmtId="0" xfId="0" applyFont="1"/>
    <xf borderId="0" fillId="0" fontId="4" numFmtId="49" xfId="0" applyFont="1" applyNumberFormat="1"/>
    <xf borderId="0" fillId="0" fontId="4" numFmtId="0" xfId="0" applyFont="1"/>
    <xf borderId="1" fillId="8" fontId="9" numFmtId="0" xfId="0" applyAlignment="1" applyBorder="1" applyFill="1" applyFont="1">
      <alignment readingOrder="0"/>
    </xf>
    <xf borderId="1" fillId="8" fontId="9" numFmtId="49" xfId="0" applyAlignment="1" applyBorder="1" applyFont="1" applyNumberFormat="1">
      <alignment readingOrder="0"/>
    </xf>
    <xf borderId="1" fillId="8" fontId="2" numFmtId="0" xfId="0" applyAlignment="1" applyBorder="1" applyFont="1">
      <alignment horizontal="right" vertical="bottom"/>
    </xf>
    <xf borderId="1" fillId="8" fontId="3" numFmtId="0" xfId="0" applyAlignment="1" applyBorder="1" applyFont="1">
      <alignment readingOrder="0"/>
    </xf>
    <xf borderId="1" fillId="8" fontId="2" numFmtId="164" xfId="0" applyAlignment="1" applyBorder="1" applyFont="1" applyNumberFormat="1">
      <alignment horizontal="right" vertical="bottom"/>
    </xf>
    <xf borderId="1" fillId="8" fontId="4" numFmtId="0" xfId="0" applyAlignment="1" applyBorder="1" applyFont="1">
      <alignment readingOrder="0"/>
    </xf>
    <xf borderId="1" fillId="8" fontId="4" numFmtId="164" xfId="0" applyBorder="1" applyFont="1" applyNumberFormat="1"/>
    <xf borderId="1" fillId="8" fontId="4" numFmtId="49" xfId="0" applyAlignment="1" applyBorder="1" applyFont="1" applyNumberFormat="1">
      <alignment readingOrder="0"/>
    </xf>
    <xf borderId="1" fillId="8" fontId="2" numFmtId="0" xfId="0" applyAlignment="1" applyBorder="1" applyFont="1">
      <alignment readingOrder="0" vertical="bottom"/>
    </xf>
    <xf borderId="1" fillId="8" fontId="2" numFmtId="164" xfId="0" applyAlignment="1" applyBorder="1" applyFont="1" applyNumberFormat="1">
      <alignment horizontal="right" readingOrder="0" vertical="bottom"/>
    </xf>
    <xf borderId="1" fillId="8" fontId="6" numFmtId="164" xfId="0" applyAlignment="1" applyBorder="1" applyFont="1" applyNumberFormat="1">
      <alignment horizontal="right" vertical="bottom"/>
    </xf>
    <xf borderId="1" fillId="8" fontId="10" numFmtId="164" xfId="0" applyBorder="1" applyFont="1" applyNumberFormat="1"/>
    <xf borderId="1" fillId="8" fontId="10" numFmtId="0" xfId="0" applyBorder="1" applyFont="1"/>
    <xf borderId="1" fillId="8" fontId="4" numFmtId="49" xfId="0" applyBorder="1" applyFont="1" applyNumberFormat="1"/>
    <xf borderId="1" fillId="8" fontId="4" numFmtId="0" xfId="0" applyBorder="1" applyFont="1"/>
    <xf borderId="1" fillId="0" fontId="5" numFmtId="49" xfId="0" applyAlignment="1" applyBorder="1" applyFont="1" applyNumberFormat="1">
      <alignment horizontal="left" vertical="bottom"/>
    </xf>
    <xf borderId="1" fillId="0" fontId="5" numFmtId="164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5" numFmtId="164" xfId="0" applyAlignment="1" applyBorder="1" applyFont="1" applyNumberFormat="1">
      <alignment horizontal="right" readingOrder="0" vertical="bottom"/>
    </xf>
    <xf borderId="1" fillId="0" fontId="6" numFmtId="164" xfId="0" applyAlignment="1" applyBorder="1" applyFont="1" applyNumberFormat="1">
      <alignment horizontal="right" readingOrder="0" vertical="bottom"/>
    </xf>
    <xf borderId="1" fillId="0" fontId="6" numFmtId="164" xfId="0" applyAlignment="1" applyBorder="1" applyFont="1" applyNumberFormat="1">
      <alignment horizontal="right" vertical="bottom"/>
    </xf>
    <xf borderId="1" fillId="0" fontId="5" numFmtId="164" xfId="0" applyAlignment="1" applyBorder="1" applyFont="1" applyNumberFormat="1">
      <alignment horizontal="right" vertical="bottom"/>
    </xf>
    <xf borderId="0" fillId="0" fontId="6" numFmtId="49" xfId="0" applyAlignment="1" applyFont="1" applyNumberFormat="1">
      <alignment horizontal="left" readingOrder="0" vertical="bottom"/>
    </xf>
    <xf borderId="0" fillId="0" fontId="5" numFmtId="164" xfId="0" applyAlignment="1" applyFont="1" applyNumberFormat="1">
      <alignment horizontal="right" readingOrder="0" vertical="bottom"/>
    </xf>
    <xf borderId="0" fillId="0" fontId="6" numFmtId="164" xfId="0" applyAlignment="1" applyFont="1" applyNumberFormat="1">
      <alignment horizontal="right" vertical="bottom"/>
    </xf>
    <xf borderId="0" fillId="0" fontId="5" numFmtId="164" xfId="0" applyAlignment="1" applyFont="1" applyNumberFormat="1">
      <alignment horizontal="right" vertical="bottom"/>
    </xf>
  </cellXfs>
  <cellStyles count="1">
    <cellStyle xfId="0" name="Normal" builtinId="0"/>
  </cellStyles>
  <dxfs count="6"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theme="0"/>
          <bgColor theme="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none"/>
      </fill>
      <border/>
    </dxf>
  </dxfs>
  <tableStyles count="40">
    <tableStyle count="2" pivot="0" name="Loan Ledger-style">
      <tableStyleElement dxfId="3" type="firstRowStripe"/>
      <tableStyleElement dxfId="4" type="secondRowStripe"/>
    </tableStyle>
    <tableStyle count="2" pivot="0" name="Loan Ledger-style 2">
      <tableStyleElement dxfId="3" type="firstRowStripe"/>
      <tableStyleElement dxfId="4" type="secondRowStripe"/>
    </tableStyle>
    <tableStyle count="2" pivot="0" name="Loan Ledger-style 3">
      <tableStyleElement dxfId="4" type="firstRowStripe"/>
      <tableStyleElement dxfId="3" type="secondRowStripe"/>
    </tableStyle>
    <tableStyle count="2" pivot="0" name="Loan Ledger-style 4">
      <tableStyleElement dxfId="4" type="firstRowStripe"/>
      <tableStyleElement dxfId="3" type="secondRowStripe"/>
    </tableStyle>
    <tableStyle count="2" pivot="0" name="Loan Ledger-style 5">
      <tableStyleElement dxfId="3" type="firstRowStripe"/>
      <tableStyleElement dxfId="4" type="secondRowStripe"/>
    </tableStyle>
    <tableStyle count="2" pivot="0" name="Loan Ledger-style 6">
      <tableStyleElement dxfId="4" type="firstRowStripe"/>
      <tableStyleElement dxfId="3" type="secondRowStripe"/>
    </tableStyle>
    <tableStyle count="2" pivot="0" name="Loan Ledger-style 7">
      <tableStyleElement dxfId="3" type="firstRowStripe"/>
      <tableStyleElement dxfId="4" type="secondRowStripe"/>
    </tableStyle>
    <tableStyle count="2" pivot="0" name="Loan Ledger-style 8">
      <tableStyleElement dxfId="3" type="firstRowStripe"/>
      <tableStyleElement dxfId="4" type="secondRowStripe"/>
    </tableStyle>
    <tableStyle count="2" pivot="0" name="Loan Ledger-style 9">
      <tableStyleElement dxfId="4" type="firstRowStripe"/>
      <tableStyleElement dxfId="3" type="secondRowStripe"/>
    </tableStyle>
    <tableStyle count="2" pivot="0" name="Loan Ledger-style 10">
      <tableStyleElement dxfId="4" type="firstRowStripe"/>
      <tableStyleElement dxfId="3" type="secondRowStripe"/>
    </tableStyle>
    <tableStyle count="2" pivot="0" name="Loan Ledger 05-style">
      <tableStyleElement dxfId="3" type="firstRowStripe"/>
      <tableStyleElement dxfId="4" type="secondRowStripe"/>
    </tableStyle>
    <tableStyle count="2" pivot="0" name="Loan Ledger 05-style 2">
      <tableStyleElement dxfId="3" type="firstRowStripe"/>
      <tableStyleElement dxfId="4" type="secondRowStripe"/>
    </tableStyle>
    <tableStyle count="2" pivot="0" name="Loan Ledger 05-style 3">
      <tableStyleElement dxfId="4" type="firstRowStripe"/>
      <tableStyleElement dxfId="3" type="secondRowStripe"/>
    </tableStyle>
    <tableStyle count="2" pivot="0" name="Loan Ledger 05-style 4">
      <tableStyleElement dxfId="4" type="firstRowStripe"/>
      <tableStyleElement dxfId="3" type="secondRowStripe"/>
    </tableStyle>
    <tableStyle count="2" pivot="0" name="Loan Ledger 05-style 5">
      <tableStyleElement dxfId="3" type="firstRowStripe"/>
      <tableStyleElement dxfId="4" type="secondRowStripe"/>
    </tableStyle>
    <tableStyle count="2" pivot="0" name="Loan Ledger 05-style 6">
      <tableStyleElement dxfId="4" type="firstRowStripe"/>
      <tableStyleElement dxfId="3" type="secondRowStripe"/>
    </tableStyle>
    <tableStyle count="2" pivot="0" name="Loan Ledger 05-style 7">
      <tableStyleElement dxfId="3" type="firstRowStripe"/>
      <tableStyleElement dxfId="4" type="secondRowStripe"/>
    </tableStyle>
    <tableStyle count="2" pivot="0" name="Loan Ledger 05-style 8">
      <tableStyleElement dxfId="3" type="firstRowStripe"/>
      <tableStyleElement dxfId="4" type="secondRowStripe"/>
    </tableStyle>
    <tableStyle count="2" pivot="0" name="Loan Ledger 05-style 9">
      <tableStyleElement dxfId="4" type="firstRowStripe"/>
      <tableStyleElement dxfId="3" type="secondRowStripe"/>
    </tableStyle>
    <tableStyle count="2" pivot="0" name="Loan Ledger 05-style 10">
      <tableStyleElement dxfId="4" type="firstRowStripe"/>
      <tableStyleElement dxfId="3" type="secondRowStripe"/>
    </tableStyle>
    <tableStyle count="2" pivot="0" name="Loan Ledger 04-style">
      <tableStyleElement dxfId="3" type="firstRowStripe"/>
      <tableStyleElement dxfId="4" type="secondRowStripe"/>
    </tableStyle>
    <tableStyle count="2" pivot="0" name="Loan Ledger 04-style 2">
      <tableStyleElement dxfId="3" type="firstRowStripe"/>
      <tableStyleElement dxfId="4" type="secondRowStripe"/>
    </tableStyle>
    <tableStyle count="2" pivot="0" name="Loan Ledger 04-style 3">
      <tableStyleElement dxfId="4" type="firstRowStripe"/>
      <tableStyleElement dxfId="3" type="secondRowStripe"/>
    </tableStyle>
    <tableStyle count="2" pivot="0" name="Loan Ledger 04-style 4">
      <tableStyleElement dxfId="4" type="firstRowStripe"/>
      <tableStyleElement dxfId="3" type="secondRowStripe"/>
    </tableStyle>
    <tableStyle count="2" pivot="0" name="Loan Ledger 04-style 5">
      <tableStyleElement dxfId="3" type="firstRowStripe"/>
      <tableStyleElement dxfId="4" type="secondRowStripe"/>
    </tableStyle>
    <tableStyle count="2" pivot="0" name="Loan Ledger 04-style 6">
      <tableStyleElement dxfId="4" type="firstRowStripe"/>
      <tableStyleElement dxfId="3" type="secondRowStripe"/>
    </tableStyle>
    <tableStyle count="2" pivot="0" name="Loan Ledger 04-style 7">
      <tableStyleElement dxfId="3" type="firstRowStripe"/>
      <tableStyleElement dxfId="4" type="secondRowStripe"/>
    </tableStyle>
    <tableStyle count="2" pivot="0" name="Loan Ledger 04-style 8">
      <tableStyleElement dxfId="3" type="firstRowStripe"/>
      <tableStyleElement dxfId="4" type="secondRowStripe"/>
    </tableStyle>
    <tableStyle count="2" pivot="0" name="Loan Ledger 04-style 9">
      <tableStyleElement dxfId="4" type="firstRowStripe"/>
      <tableStyleElement dxfId="3" type="secondRowStripe"/>
    </tableStyle>
    <tableStyle count="2" pivot="0" name="Loan Ledger 04-style 10">
      <tableStyleElement dxfId="4" type="firstRowStripe"/>
      <tableStyleElement dxfId="3" type="secondRowStripe"/>
    </tableStyle>
    <tableStyle count="2" pivot="0" name="Loan Ledger 03-style">
      <tableStyleElement dxfId="3" type="firstRowStripe"/>
      <tableStyleElement dxfId="4" type="secondRowStripe"/>
    </tableStyle>
    <tableStyle count="2" pivot="0" name="Loan Ledger 03-style 2">
      <tableStyleElement dxfId="3" type="firstRowStripe"/>
      <tableStyleElement dxfId="4" type="secondRowStripe"/>
    </tableStyle>
    <tableStyle count="2" pivot="0" name="Loan Ledger 03-style 3">
      <tableStyleElement dxfId="4" type="firstRowStripe"/>
      <tableStyleElement dxfId="3" type="secondRowStripe"/>
    </tableStyle>
    <tableStyle count="2" pivot="0" name="Loan Ledger 03-style 4">
      <tableStyleElement dxfId="4" type="firstRowStripe"/>
      <tableStyleElement dxfId="3" type="secondRowStripe"/>
    </tableStyle>
    <tableStyle count="2" pivot="0" name="Loan Ledger 03-style 5">
      <tableStyleElement dxfId="3" type="firstRowStripe"/>
      <tableStyleElement dxfId="4" type="secondRowStripe"/>
    </tableStyle>
    <tableStyle count="2" pivot="0" name="Loan Ledger 03-style 6">
      <tableStyleElement dxfId="4" type="firstRowStripe"/>
      <tableStyleElement dxfId="3" type="secondRowStripe"/>
    </tableStyle>
    <tableStyle count="2" pivot="0" name="Loan Ledger 03-style 7">
      <tableStyleElement dxfId="3" type="firstRowStripe"/>
      <tableStyleElement dxfId="4" type="secondRowStripe"/>
    </tableStyle>
    <tableStyle count="2" pivot="0" name="Loan Ledger 03-style 8">
      <tableStyleElement dxfId="3" type="firstRowStripe"/>
      <tableStyleElement dxfId="4" type="secondRowStripe"/>
    </tableStyle>
    <tableStyle count="2" pivot="0" name="Loan Ledger 03-style 9">
      <tableStyleElement dxfId="4" type="firstRowStripe"/>
      <tableStyleElement dxfId="3" type="secondRowStripe"/>
    </tableStyle>
    <tableStyle count="2" pivot="0" name="Loan Ledger 03-style 10"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H2:I2" displayName="Table_1" name="Table_1" id="1">
  <tableColumns count="2">
    <tableColumn name="Column1" id="1"/>
    <tableColumn name="Column2" id="2"/>
  </tableColumns>
  <tableStyleInfo name="Loan Ledger-style" showColumnStripes="0" showFirstColumn="1" showLastColumn="1" showRowStripes="1"/>
</table>
</file>

<file path=xl/tables/table2.xml><?xml version="1.0" encoding="utf-8"?>
<table xmlns="http://schemas.openxmlformats.org/spreadsheetml/2006/main" headerRowCount="0" ref="H3:I4" displayName="Table_2" name="Table_2" id="2">
  <tableColumns count="2">
    <tableColumn name="Column1" id="1"/>
    <tableColumn name="Column2" id="2"/>
  </tableColumns>
  <tableStyleInfo name="Loan Ledger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:I12" displayName="Table_3" name="Table_3" id="3">
  <tableColumns count="2">
    <tableColumn name="Column1" id="1"/>
    <tableColumn name="Column2" id="2"/>
  </tableColumns>
  <tableStyleInfo name="Loan Ledger-style 3" showColumnStripes="0" showFirstColumn="1" showLastColumn="1" showRowStripes="1"/>
</table>
</file>

<file path=xl/tables/table4.xml><?xml version="1.0" encoding="utf-8"?>
<table xmlns="http://schemas.openxmlformats.org/spreadsheetml/2006/main" headerRowCount="0" ref="H13:I13" displayName="Table_4" name="Table_4" id="4">
  <tableColumns count="2">
    <tableColumn name="Column1" id="1"/>
    <tableColumn name="Column2" id="2"/>
  </tableColumns>
  <tableStyleInfo name="Loan Ledger-style 4" showColumnStripes="0" showFirstColumn="1" showLastColumn="1" showRowStripes="1"/>
</table>
</file>

<file path=xl/tables/table5.xml><?xml version="1.0" encoding="utf-8"?>
<table xmlns="http://schemas.openxmlformats.org/spreadsheetml/2006/main" headerRowCount="0" ref="H20:I20" displayName="Table_5" name="Table_5" id="5">
  <tableColumns count="2">
    <tableColumn name="Column1" id="1"/>
    <tableColumn name="Column2" id="2"/>
  </tableColumns>
  <tableStyleInfo name="Loan Ledger-style 5" showColumnStripes="0" showFirstColumn="1" showLastColumn="1" showRowStripes="1"/>
</table>
</file>

<file path=xl/tables/table6.xml><?xml version="1.0" encoding="utf-8"?>
<table xmlns="http://schemas.openxmlformats.org/spreadsheetml/2006/main" headerRowCount="0" ref="H21:I21" displayName="Table_6" name="Table_6" id="6">
  <tableColumns count="2">
    <tableColumn name="Column1" id="1"/>
    <tableColumn name="Column2" id="2"/>
  </tableColumns>
  <tableStyleInfo name="Loan Ledger-style 6" showColumnStripes="0" showFirstColumn="1" showLastColumn="1" showRowStripes="1"/>
</table>
</file>

<file path=xl/tables/table7.xml><?xml version="1.0" encoding="utf-8"?>
<table xmlns="http://schemas.openxmlformats.org/spreadsheetml/2006/main" headerRowCount="0" ref="H22:I22" displayName="Table_7" name="Table_7" id="7">
  <tableColumns count="2">
    <tableColumn name="Column1" id="1"/>
    <tableColumn name="Column2" id="2"/>
  </tableColumns>
  <tableStyleInfo name="Loan Ledger-style 7" showColumnStripes="0" showFirstColumn="1" showLastColumn="1" showRowStripes="1"/>
</table>
</file>

<file path=xl/tables/table8.xml><?xml version="1.0" encoding="utf-8"?>
<table xmlns="http://schemas.openxmlformats.org/spreadsheetml/2006/main" headerRowCount="0" ref="H27:I27" displayName="Table_8" name="Table_8" id="8">
  <tableColumns count="2">
    <tableColumn name="Column1" id="1"/>
    <tableColumn name="Column2" id="2"/>
  </tableColumns>
  <tableStyleInfo name="Loan Ledger-style 8" showColumnStripes="0" showFirstColumn="1" showLastColumn="1" showRowStripes="1"/>
</table>
</file>

<file path=xl/tables/table9.xml><?xml version="1.0" encoding="utf-8"?>
<table xmlns="http://schemas.openxmlformats.org/spreadsheetml/2006/main" headerRowCount="0" ref="H35:I35" displayName="Table_9" name="Table_9" id="9">
  <tableColumns count="2">
    <tableColumn name="Column1" id="1"/>
    <tableColumn name="Column2" id="2"/>
  </tableColumns>
  <tableStyleInfo name="Loan Ledger-style 9" showColumnStripes="0" showFirstColumn="1" showLastColumn="1" showRowStripes="1"/>
</table>
</file>

<file path=xl/tables/table10.xml><?xml version="1.0" encoding="utf-8"?>
<table xmlns="http://schemas.openxmlformats.org/spreadsheetml/2006/main" headerRowCount="0" ref="H36:I36" displayName="Table_10" name="Table_10" id="10">
  <tableColumns count="2">
    <tableColumn name="Column1" id="1"/>
    <tableColumn name="Column2" id="2"/>
  </tableColumns>
  <tableStyleInfo name="Loan Ledger-style 10" showColumnStripes="0" showFirstColumn="1" showLastColumn="1" showRowStripes="1"/>
</table>
</file>

<file path=xl/tables/table11.xml><?xml version="1.0" encoding="utf-8"?>
<table xmlns="http://schemas.openxmlformats.org/spreadsheetml/2006/main" headerRowCount="0" ref="H2:I2" displayName="Table_11" name="Table_11" id="11">
  <tableColumns count="2">
    <tableColumn name="Column1" id="1"/>
    <tableColumn name="Column2" id="2"/>
  </tableColumns>
  <tableStyleInfo name="Loan Ledger 05-style" showColumnStripes="0" showFirstColumn="1" showLastColumn="1" showRowStripes="1"/>
</table>
</file>

<file path=xl/tables/table12.xml><?xml version="1.0" encoding="utf-8"?>
<table xmlns="http://schemas.openxmlformats.org/spreadsheetml/2006/main" headerRowCount="0" ref="H3:I4" displayName="Table_12" name="Table_12" id="12">
  <tableColumns count="2">
    <tableColumn name="Column1" id="1"/>
    <tableColumn name="Column2" id="2"/>
  </tableColumns>
  <tableStyleInfo name="Loan Ledger 05-style 2" showColumnStripes="0" showFirstColumn="1" showLastColumn="1" showRowStripes="1"/>
</table>
</file>

<file path=xl/tables/table13.xml><?xml version="1.0" encoding="utf-8"?>
<table xmlns="http://schemas.openxmlformats.org/spreadsheetml/2006/main" headerRowCount="0" ref="H12:I12" displayName="Table_13" name="Table_13" id="13">
  <tableColumns count="2">
    <tableColumn name="Column1" id="1"/>
    <tableColumn name="Column2" id="2"/>
  </tableColumns>
  <tableStyleInfo name="Loan Ledger 05-style 3" showColumnStripes="0" showFirstColumn="1" showLastColumn="1" showRowStripes="1"/>
</table>
</file>

<file path=xl/tables/table14.xml><?xml version="1.0" encoding="utf-8"?>
<table xmlns="http://schemas.openxmlformats.org/spreadsheetml/2006/main" headerRowCount="0" ref="H13:I13" displayName="Table_14" name="Table_14" id="14">
  <tableColumns count="2">
    <tableColumn name="Column1" id="1"/>
    <tableColumn name="Column2" id="2"/>
  </tableColumns>
  <tableStyleInfo name="Loan Ledger 05-style 4" showColumnStripes="0" showFirstColumn="1" showLastColumn="1" showRowStripes="1"/>
</table>
</file>

<file path=xl/tables/table15.xml><?xml version="1.0" encoding="utf-8"?>
<table xmlns="http://schemas.openxmlformats.org/spreadsheetml/2006/main" headerRowCount="0" ref="H20:I20" displayName="Table_15" name="Table_15" id="15">
  <tableColumns count="2">
    <tableColumn name="Column1" id="1"/>
    <tableColumn name="Column2" id="2"/>
  </tableColumns>
  <tableStyleInfo name="Loan Ledger 05-style 5" showColumnStripes="0" showFirstColumn="1" showLastColumn="1" showRowStripes="1"/>
</table>
</file>

<file path=xl/tables/table16.xml><?xml version="1.0" encoding="utf-8"?>
<table xmlns="http://schemas.openxmlformats.org/spreadsheetml/2006/main" headerRowCount="0" ref="H21:I21" displayName="Table_16" name="Table_16" id="16">
  <tableColumns count="2">
    <tableColumn name="Column1" id="1"/>
    <tableColumn name="Column2" id="2"/>
  </tableColumns>
  <tableStyleInfo name="Loan Ledger 05-style 6" showColumnStripes="0" showFirstColumn="1" showLastColumn="1" showRowStripes="1"/>
</table>
</file>

<file path=xl/tables/table17.xml><?xml version="1.0" encoding="utf-8"?>
<table xmlns="http://schemas.openxmlformats.org/spreadsheetml/2006/main" headerRowCount="0" ref="H22:I22" displayName="Table_17" name="Table_17" id="17">
  <tableColumns count="2">
    <tableColumn name="Column1" id="1"/>
    <tableColumn name="Column2" id="2"/>
  </tableColumns>
  <tableStyleInfo name="Loan Ledger 05-style 7" showColumnStripes="0" showFirstColumn="1" showLastColumn="1" showRowStripes="1"/>
</table>
</file>

<file path=xl/tables/table18.xml><?xml version="1.0" encoding="utf-8"?>
<table xmlns="http://schemas.openxmlformats.org/spreadsheetml/2006/main" headerRowCount="0" ref="H27:I27" displayName="Table_18" name="Table_18" id="18">
  <tableColumns count="2">
    <tableColumn name="Column1" id="1"/>
    <tableColumn name="Column2" id="2"/>
  </tableColumns>
  <tableStyleInfo name="Loan Ledger 05-style 8" showColumnStripes="0" showFirstColumn="1" showLastColumn="1" showRowStripes="1"/>
</table>
</file>

<file path=xl/tables/table19.xml><?xml version="1.0" encoding="utf-8"?>
<table xmlns="http://schemas.openxmlformats.org/spreadsheetml/2006/main" headerRowCount="0" ref="H35:I35" displayName="Table_19" name="Table_19" id="19">
  <tableColumns count="2">
    <tableColumn name="Column1" id="1"/>
    <tableColumn name="Column2" id="2"/>
  </tableColumns>
  <tableStyleInfo name="Loan Ledger 05-style 9" showColumnStripes="0" showFirstColumn="1" showLastColumn="1" showRowStripes="1"/>
</table>
</file>

<file path=xl/tables/table20.xml><?xml version="1.0" encoding="utf-8"?>
<table xmlns="http://schemas.openxmlformats.org/spreadsheetml/2006/main" headerRowCount="0" ref="H36:I36" displayName="Table_20" name="Table_20" id="20">
  <tableColumns count="2">
    <tableColumn name="Column1" id="1"/>
    <tableColumn name="Column2" id="2"/>
  </tableColumns>
  <tableStyleInfo name="Loan Ledger 05-style 10" showColumnStripes="0" showFirstColumn="1" showLastColumn="1" showRowStripes="1"/>
</table>
</file>

<file path=xl/tables/table21.xml><?xml version="1.0" encoding="utf-8"?>
<table xmlns="http://schemas.openxmlformats.org/spreadsheetml/2006/main" headerRowCount="0" ref="H2:I2" displayName="Table_21" name="Table_21" id="21">
  <tableColumns count="2">
    <tableColumn name="Column1" id="1"/>
    <tableColumn name="Column2" id="2"/>
  </tableColumns>
  <tableStyleInfo name="Loan Ledger 04-style" showColumnStripes="0" showFirstColumn="1" showLastColumn="1" showRowStripes="1"/>
</table>
</file>

<file path=xl/tables/table22.xml><?xml version="1.0" encoding="utf-8"?>
<table xmlns="http://schemas.openxmlformats.org/spreadsheetml/2006/main" headerRowCount="0" ref="H3:I4" displayName="Table_22" name="Table_22" id="22">
  <tableColumns count="2">
    <tableColumn name="Column1" id="1"/>
    <tableColumn name="Column2" id="2"/>
  </tableColumns>
  <tableStyleInfo name="Loan Ledger 04-style 2" showColumnStripes="0" showFirstColumn="1" showLastColumn="1" showRowStripes="1"/>
</table>
</file>

<file path=xl/tables/table23.xml><?xml version="1.0" encoding="utf-8"?>
<table xmlns="http://schemas.openxmlformats.org/spreadsheetml/2006/main" headerRowCount="0" ref="H12:I12" displayName="Table_23" name="Table_23" id="23">
  <tableColumns count="2">
    <tableColumn name="Column1" id="1"/>
    <tableColumn name="Column2" id="2"/>
  </tableColumns>
  <tableStyleInfo name="Loan Ledger 04-style 3" showColumnStripes="0" showFirstColumn="1" showLastColumn="1" showRowStripes="1"/>
</table>
</file>

<file path=xl/tables/table24.xml><?xml version="1.0" encoding="utf-8"?>
<table xmlns="http://schemas.openxmlformats.org/spreadsheetml/2006/main" headerRowCount="0" ref="H13:I13" displayName="Table_24" name="Table_24" id="24">
  <tableColumns count="2">
    <tableColumn name="Column1" id="1"/>
    <tableColumn name="Column2" id="2"/>
  </tableColumns>
  <tableStyleInfo name="Loan Ledger 04-style 4" showColumnStripes="0" showFirstColumn="1" showLastColumn="1" showRowStripes="1"/>
</table>
</file>

<file path=xl/tables/table25.xml><?xml version="1.0" encoding="utf-8"?>
<table xmlns="http://schemas.openxmlformats.org/spreadsheetml/2006/main" headerRowCount="0" ref="H20:I20" displayName="Table_25" name="Table_25" id="25">
  <tableColumns count="2">
    <tableColumn name="Column1" id="1"/>
    <tableColumn name="Column2" id="2"/>
  </tableColumns>
  <tableStyleInfo name="Loan Ledger 04-style 5" showColumnStripes="0" showFirstColumn="1" showLastColumn="1" showRowStripes="1"/>
</table>
</file>

<file path=xl/tables/table26.xml><?xml version="1.0" encoding="utf-8"?>
<table xmlns="http://schemas.openxmlformats.org/spreadsheetml/2006/main" headerRowCount="0" ref="H21:I21" displayName="Table_26" name="Table_26" id="26">
  <tableColumns count="2">
    <tableColumn name="Column1" id="1"/>
    <tableColumn name="Column2" id="2"/>
  </tableColumns>
  <tableStyleInfo name="Loan Ledger 04-style 6" showColumnStripes="0" showFirstColumn="1" showLastColumn="1" showRowStripes="1"/>
</table>
</file>

<file path=xl/tables/table27.xml><?xml version="1.0" encoding="utf-8"?>
<table xmlns="http://schemas.openxmlformats.org/spreadsheetml/2006/main" headerRowCount="0" ref="H22:I22" displayName="Table_27" name="Table_27" id="27">
  <tableColumns count="2">
    <tableColumn name="Column1" id="1"/>
    <tableColumn name="Column2" id="2"/>
  </tableColumns>
  <tableStyleInfo name="Loan Ledger 04-style 7" showColumnStripes="0" showFirstColumn="1" showLastColumn="1" showRowStripes="1"/>
</table>
</file>

<file path=xl/tables/table28.xml><?xml version="1.0" encoding="utf-8"?>
<table xmlns="http://schemas.openxmlformats.org/spreadsheetml/2006/main" headerRowCount="0" ref="H27:I27" displayName="Table_28" name="Table_28" id="28">
  <tableColumns count="2">
    <tableColumn name="Column1" id="1"/>
    <tableColumn name="Column2" id="2"/>
  </tableColumns>
  <tableStyleInfo name="Loan Ledger 04-style 8" showColumnStripes="0" showFirstColumn="1" showLastColumn="1" showRowStripes="1"/>
</table>
</file>

<file path=xl/tables/table29.xml><?xml version="1.0" encoding="utf-8"?>
<table xmlns="http://schemas.openxmlformats.org/spreadsheetml/2006/main" headerRowCount="0" ref="H35:I35" displayName="Table_29" name="Table_29" id="29">
  <tableColumns count="2">
    <tableColumn name="Column1" id="1"/>
    <tableColumn name="Column2" id="2"/>
  </tableColumns>
  <tableStyleInfo name="Loan Ledger 04-style 9" showColumnStripes="0" showFirstColumn="1" showLastColumn="1" showRowStripes="1"/>
</table>
</file>

<file path=xl/tables/table30.xml><?xml version="1.0" encoding="utf-8"?>
<table xmlns="http://schemas.openxmlformats.org/spreadsheetml/2006/main" headerRowCount="0" ref="H36:I36" displayName="Table_30" name="Table_30" id="30">
  <tableColumns count="2">
    <tableColumn name="Column1" id="1"/>
    <tableColumn name="Column2" id="2"/>
  </tableColumns>
  <tableStyleInfo name="Loan Ledger 04-style 10" showColumnStripes="0" showFirstColumn="1" showLastColumn="1" showRowStripes="1"/>
</table>
</file>

<file path=xl/tables/table31.xml><?xml version="1.0" encoding="utf-8"?>
<table xmlns="http://schemas.openxmlformats.org/spreadsheetml/2006/main" headerRowCount="0" ref="H2:I2" displayName="Table_31" name="Table_31" id="31">
  <tableColumns count="2">
    <tableColumn name="Column1" id="1"/>
    <tableColumn name="Column2" id="2"/>
  </tableColumns>
  <tableStyleInfo name="Loan Ledger 03-style" showColumnStripes="0" showFirstColumn="1" showLastColumn="1" showRowStripes="1"/>
</table>
</file>

<file path=xl/tables/table32.xml><?xml version="1.0" encoding="utf-8"?>
<table xmlns="http://schemas.openxmlformats.org/spreadsheetml/2006/main" headerRowCount="0" ref="H3:I4" displayName="Table_32" name="Table_32" id="32">
  <tableColumns count="2">
    <tableColumn name="Column1" id="1"/>
    <tableColumn name="Column2" id="2"/>
  </tableColumns>
  <tableStyleInfo name="Loan Ledger 03-style 2" showColumnStripes="0" showFirstColumn="1" showLastColumn="1" showRowStripes="1"/>
</table>
</file>

<file path=xl/tables/table33.xml><?xml version="1.0" encoding="utf-8"?>
<table xmlns="http://schemas.openxmlformats.org/spreadsheetml/2006/main" headerRowCount="0" ref="H12:I12" displayName="Table_33" name="Table_33" id="33">
  <tableColumns count="2">
    <tableColumn name="Column1" id="1"/>
    <tableColumn name="Column2" id="2"/>
  </tableColumns>
  <tableStyleInfo name="Loan Ledger 03-style 3" showColumnStripes="0" showFirstColumn="1" showLastColumn="1" showRowStripes="1"/>
</table>
</file>

<file path=xl/tables/table34.xml><?xml version="1.0" encoding="utf-8"?>
<table xmlns="http://schemas.openxmlformats.org/spreadsheetml/2006/main" headerRowCount="0" ref="H13:I13" displayName="Table_34" name="Table_34" id="34">
  <tableColumns count="2">
    <tableColumn name="Column1" id="1"/>
    <tableColumn name="Column2" id="2"/>
  </tableColumns>
  <tableStyleInfo name="Loan Ledger 03-style 4" showColumnStripes="0" showFirstColumn="1" showLastColumn="1" showRowStripes="1"/>
</table>
</file>

<file path=xl/tables/table35.xml><?xml version="1.0" encoding="utf-8"?>
<table xmlns="http://schemas.openxmlformats.org/spreadsheetml/2006/main" headerRowCount="0" ref="H20:I20" displayName="Table_35" name="Table_35" id="35">
  <tableColumns count="2">
    <tableColumn name="Column1" id="1"/>
    <tableColumn name="Column2" id="2"/>
  </tableColumns>
  <tableStyleInfo name="Loan Ledger 03-style 5" showColumnStripes="0" showFirstColumn="1" showLastColumn="1" showRowStripes="1"/>
</table>
</file>

<file path=xl/tables/table36.xml><?xml version="1.0" encoding="utf-8"?>
<table xmlns="http://schemas.openxmlformats.org/spreadsheetml/2006/main" headerRowCount="0" ref="H21:I21" displayName="Table_36" name="Table_36" id="36">
  <tableColumns count="2">
    <tableColumn name="Column1" id="1"/>
    <tableColumn name="Column2" id="2"/>
  </tableColumns>
  <tableStyleInfo name="Loan Ledger 03-style 6" showColumnStripes="0" showFirstColumn="1" showLastColumn="1" showRowStripes="1"/>
</table>
</file>

<file path=xl/tables/table37.xml><?xml version="1.0" encoding="utf-8"?>
<table xmlns="http://schemas.openxmlformats.org/spreadsheetml/2006/main" headerRowCount="0" ref="H22:I22" displayName="Table_37" name="Table_37" id="37">
  <tableColumns count="2">
    <tableColumn name="Column1" id="1"/>
    <tableColumn name="Column2" id="2"/>
  </tableColumns>
  <tableStyleInfo name="Loan Ledger 03-style 7" showColumnStripes="0" showFirstColumn="1" showLastColumn="1" showRowStripes="1"/>
</table>
</file>

<file path=xl/tables/table38.xml><?xml version="1.0" encoding="utf-8"?>
<table xmlns="http://schemas.openxmlformats.org/spreadsheetml/2006/main" headerRowCount="0" ref="H27:I27" displayName="Table_38" name="Table_38" id="38">
  <tableColumns count="2">
    <tableColumn name="Column1" id="1"/>
    <tableColumn name="Column2" id="2"/>
  </tableColumns>
  <tableStyleInfo name="Loan Ledger 03-style 8" showColumnStripes="0" showFirstColumn="1" showLastColumn="1" showRowStripes="1"/>
</table>
</file>

<file path=xl/tables/table39.xml><?xml version="1.0" encoding="utf-8"?>
<table xmlns="http://schemas.openxmlformats.org/spreadsheetml/2006/main" headerRowCount="0" ref="H35:I35" displayName="Table_39" name="Table_39" id="39">
  <tableColumns count="2">
    <tableColumn name="Column1" id="1"/>
    <tableColumn name="Column2" id="2"/>
  </tableColumns>
  <tableStyleInfo name="Loan Ledger 03-style 9" showColumnStripes="0" showFirstColumn="1" showLastColumn="1" showRowStripes="1"/>
</table>
</file>

<file path=xl/tables/table40.xml><?xml version="1.0" encoding="utf-8"?>
<table xmlns="http://schemas.openxmlformats.org/spreadsheetml/2006/main" headerRowCount="0" ref="H36:I36" displayName="Table_40" name="Table_40" id="40">
  <tableColumns count="2">
    <tableColumn name="Column1" id="1"/>
    <tableColumn name="Column2" id="2"/>
  </tableColumns>
  <tableStyleInfo name="Loan Ledger 03-style 10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20" Type="http://schemas.openxmlformats.org/officeDocument/2006/relationships/table" Target="../tables/table19.xml"/><Relationship Id="rId21" Type="http://schemas.openxmlformats.org/officeDocument/2006/relationships/table" Target="../tables/table20.xml"/><Relationship Id="rId13" Type="http://schemas.openxmlformats.org/officeDocument/2006/relationships/table" Target="../tables/table12.xml"/><Relationship Id="rId12" Type="http://schemas.openxmlformats.org/officeDocument/2006/relationships/table" Target="../tables/table11.xml"/><Relationship Id="rId15" Type="http://schemas.openxmlformats.org/officeDocument/2006/relationships/table" Target="../tables/table14.xml"/><Relationship Id="rId14" Type="http://schemas.openxmlformats.org/officeDocument/2006/relationships/table" Target="../tables/table13.xml"/><Relationship Id="rId17" Type="http://schemas.openxmlformats.org/officeDocument/2006/relationships/table" Target="../tables/table16.xml"/><Relationship Id="rId16" Type="http://schemas.openxmlformats.org/officeDocument/2006/relationships/table" Target="../tables/table15.xml"/><Relationship Id="rId19" Type="http://schemas.openxmlformats.org/officeDocument/2006/relationships/table" Target="../tables/table18.xml"/><Relationship Id="rId18" Type="http://schemas.openxmlformats.org/officeDocument/2006/relationships/table" Target="../tables/table17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20" Type="http://schemas.openxmlformats.org/officeDocument/2006/relationships/table" Target="../tables/table29.xml"/><Relationship Id="rId21" Type="http://schemas.openxmlformats.org/officeDocument/2006/relationships/table" Target="../tables/table30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Relationship Id="rId17" Type="http://schemas.openxmlformats.org/officeDocument/2006/relationships/table" Target="../tables/table26.xml"/><Relationship Id="rId16" Type="http://schemas.openxmlformats.org/officeDocument/2006/relationships/table" Target="../tables/table25.xml"/><Relationship Id="rId19" Type="http://schemas.openxmlformats.org/officeDocument/2006/relationships/table" Target="../tables/table28.xml"/><Relationship Id="rId18" Type="http://schemas.openxmlformats.org/officeDocument/2006/relationships/table" Target="../tables/table2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20" Type="http://schemas.openxmlformats.org/officeDocument/2006/relationships/table" Target="../tables/table39.xml"/><Relationship Id="rId21" Type="http://schemas.openxmlformats.org/officeDocument/2006/relationships/table" Target="../tables/table40.xml"/><Relationship Id="rId13" Type="http://schemas.openxmlformats.org/officeDocument/2006/relationships/table" Target="../tables/table32.xml"/><Relationship Id="rId12" Type="http://schemas.openxmlformats.org/officeDocument/2006/relationships/table" Target="../tables/table31.xml"/><Relationship Id="rId15" Type="http://schemas.openxmlformats.org/officeDocument/2006/relationships/table" Target="../tables/table34.xml"/><Relationship Id="rId14" Type="http://schemas.openxmlformats.org/officeDocument/2006/relationships/table" Target="../tables/table33.xml"/><Relationship Id="rId17" Type="http://schemas.openxmlformats.org/officeDocument/2006/relationships/table" Target="../tables/table36.xml"/><Relationship Id="rId16" Type="http://schemas.openxmlformats.org/officeDocument/2006/relationships/table" Target="../tables/table35.xml"/><Relationship Id="rId19" Type="http://schemas.openxmlformats.org/officeDocument/2006/relationships/table" Target="../tables/table38.xml"/><Relationship Id="rId18" Type="http://schemas.openxmlformats.org/officeDocument/2006/relationships/table" Target="../tables/table37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2.63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 s="5">
        <v>1.0</v>
      </c>
      <c r="B2" s="6" t="s">
        <v>4</v>
      </c>
      <c r="C2" s="7">
        <v>5000.0</v>
      </c>
      <c r="D2" s="4" t="s">
        <v>5</v>
      </c>
    </row>
    <row r="3">
      <c r="A3" s="5">
        <v>2.0</v>
      </c>
      <c r="B3" s="2" t="s">
        <v>6</v>
      </c>
      <c r="C3" s="7">
        <v>5000.0</v>
      </c>
      <c r="D3" s="4" t="s">
        <v>7</v>
      </c>
    </row>
    <row r="4">
      <c r="A4" s="5">
        <v>3.0</v>
      </c>
      <c r="B4" s="2" t="s">
        <v>8</v>
      </c>
      <c r="C4" s="7">
        <v>5000.0</v>
      </c>
      <c r="D4" s="4" t="s">
        <v>9</v>
      </c>
    </row>
    <row r="5">
      <c r="A5" s="5">
        <v>4.0</v>
      </c>
      <c r="B5" s="8" t="s">
        <v>10</v>
      </c>
      <c r="C5" s="7">
        <v>5000.0</v>
      </c>
      <c r="D5" s="4" t="s">
        <v>11</v>
      </c>
    </row>
    <row r="6">
      <c r="A6" s="5">
        <v>5.0</v>
      </c>
      <c r="B6" s="2" t="s">
        <v>12</v>
      </c>
      <c r="C6" s="7">
        <v>5000.0</v>
      </c>
      <c r="D6" s="4" t="s">
        <v>13</v>
      </c>
    </row>
    <row r="7">
      <c r="A7" s="5">
        <v>6.0</v>
      </c>
      <c r="B7" s="8" t="s">
        <v>14</v>
      </c>
      <c r="C7" s="9">
        <v>5000.0</v>
      </c>
      <c r="D7" s="4" t="s">
        <v>15</v>
      </c>
    </row>
    <row r="8">
      <c r="A8" s="5">
        <v>7.0</v>
      </c>
      <c r="B8" s="2" t="s">
        <v>16</v>
      </c>
      <c r="C8" s="7">
        <v>5000.0</v>
      </c>
      <c r="D8" s="4" t="s">
        <v>17</v>
      </c>
    </row>
    <row r="9">
      <c r="A9" s="5">
        <v>8.0</v>
      </c>
      <c r="B9" s="2" t="s">
        <v>18</v>
      </c>
      <c r="C9" s="9">
        <v>5000.0</v>
      </c>
      <c r="D9" s="4" t="s">
        <v>19</v>
      </c>
    </row>
    <row r="10">
      <c r="A10" s="10">
        <v>9.0</v>
      </c>
      <c r="B10" s="8" t="s">
        <v>20</v>
      </c>
      <c r="C10" s="11">
        <v>2000.0</v>
      </c>
      <c r="D10" s="12" t="s">
        <v>21</v>
      </c>
    </row>
    <row r="11">
      <c r="A11" s="10">
        <v>10.0</v>
      </c>
      <c r="B11" s="13" t="s">
        <v>22</v>
      </c>
      <c r="C11" s="9">
        <v>2000.0</v>
      </c>
      <c r="D11" s="4" t="s">
        <v>23</v>
      </c>
    </row>
    <row r="12">
      <c r="A12" s="10">
        <v>11.0</v>
      </c>
      <c r="B12" s="14" t="s">
        <v>24</v>
      </c>
      <c r="C12" s="15">
        <v>2000.0</v>
      </c>
      <c r="D12" s="16" t="s">
        <v>25</v>
      </c>
    </row>
    <row r="13">
      <c r="A13" s="10">
        <v>12.0</v>
      </c>
      <c r="B13" s="2" t="s">
        <v>26</v>
      </c>
      <c r="C13" s="7">
        <v>2000.0</v>
      </c>
      <c r="D13" s="4" t="s">
        <v>27</v>
      </c>
    </row>
    <row r="14">
      <c r="A14" s="10">
        <v>13.0</v>
      </c>
      <c r="B14" s="13" t="s">
        <v>28</v>
      </c>
      <c r="C14" s="7">
        <v>2000.0</v>
      </c>
      <c r="D14" s="4" t="s">
        <v>29</v>
      </c>
    </row>
    <row r="15">
      <c r="A15" s="10">
        <v>14.0</v>
      </c>
      <c r="B15" s="14" t="s">
        <v>30</v>
      </c>
      <c r="C15" s="9">
        <v>2000.0</v>
      </c>
      <c r="D15" s="4" t="s">
        <v>31</v>
      </c>
    </row>
    <row r="16">
      <c r="A16" s="10">
        <v>15.0</v>
      </c>
      <c r="B16" s="2" t="s">
        <v>32</v>
      </c>
      <c r="C16" s="7">
        <v>2000.0</v>
      </c>
      <c r="D16" s="4" t="s">
        <v>33</v>
      </c>
    </row>
    <row r="17">
      <c r="A17" s="10">
        <v>16.0</v>
      </c>
      <c r="B17" s="2" t="s">
        <v>34</v>
      </c>
      <c r="C17" s="7">
        <v>2000.0</v>
      </c>
      <c r="D17" s="4" t="s">
        <v>35</v>
      </c>
    </row>
    <row r="18">
      <c r="A18" s="10">
        <v>17.0</v>
      </c>
      <c r="B18" s="2" t="s">
        <v>36</v>
      </c>
      <c r="C18" s="9">
        <v>2000.0</v>
      </c>
      <c r="D18" s="4" t="s">
        <v>37</v>
      </c>
    </row>
    <row r="19">
      <c r="A19" s="10">
        <v>18.0</v>
      </c>
      <c r="B19" s="13" t="s">
        <v>38</v>
      </c>
      <c r="C19" s="9">
        <v>2000.0</v>
      </c>
      <c r="D19" s="4" t="s">
        <v>39</v>
      </c>
    </row>
    <row r="20">
      <c r="A20" s="10">
        <v>19.0</v>
      </c>
      <c r="B20" s="14" t="s">
        <v>40</v>
      </c>
      <c r="C20" s="9">
        <v>2000.0</v>
      </c>
      <c r="D20" s="4" t="s">
        <v>41</v>
      </c>
    </row>
    <row r="21">
      <c r="A21" s="10">
        <v>20.0</v>
      </c>
      <c r="B21" s="13" t="s">
        <v>42</v>
      </c>
      <c r="C21" s="7">
        <v>2000.0</v>
      </c>
      <c r="D21" s="4" t="s">
        <v>43</v>
      </c>
    </row>
    <row r="22">
      <c r="A22" s="10">
        <v>21.0</v>
      </c>
      <c r="B22" s="13" t="s">
        <v>44</v>
      </c>
      <c r="C22" s="7">
        <v>2000.0</v>
      </c>
      <c r="D22" s="4" t="s">
        <v>45</v>
      </c>
    </row>
    <row r="23">
      <c r="A23" s="10">
        <v>22.0</v>
      </c>
      <c r="B23" s="2" t="s">
        <v>46</v>
      </c>
      <c r="C23" s="7">
        <v>2000.0</v>
      </c>
      <c r="D23" s="4" t="s">
        <v>47</v>
      </c>
    </row>
    <row r="24">
      <c r="A24" s="17">
        <v>23.0</v>
      </c>
      <c r="B24" s="14" t="s">
        <v>48</v>
      </c>
      <c r="C24" s="9">
        <v>1000.0</v>
      </c>
      <c r="D24" s="4" t="s">
        <v>49</v>
      </c>
    </row>
    <row r="25">
      <c r="A25" s="17">
        <v>24.0</v>
      </c>
      <c r="B25" s="2" t="s">
        <v>50</v>
      </c>
      <c r="C25" s="9">
        <v>1000.0</v>
      </c>
      <c r="D25" s="4" t="s">
        <v>51</v>
      </c>
    </row>
    <row r="26">
      <c r="A26" s="17">
        <v>25.0</v>
      </c>
      <c r="B26" s="2" t="s">
        <v>52</v>
      </c>
      <c r="C26" s="9">
        <v>1000.0</v>
      </c>
      <c r="D26" s="4" t="s">
        <v>53</v>
      </c>
    </row>
    <row r="27">
      <c r="A27" s="17">
        <v>26.0</v>
      </c>
      <c r="B27" s="2" t="s">
        <v>54</v>
      </c>
      <c r="C27" s="9">
        <v>1000.0</v>
      </c>
      <c r="D27" s="4" t="s">
        <v>55</v>
      </c>
    </row>
    <row r="28">
      <c r="A28" s="17">
        <v>27.0</v>
      </c>
      <c r="B28" s="2" t="s">
        <v>56</v>
      </c>
      <c r="C28" s="9">
        <v>1000.0</v>
      </c>
      <c r="D28" s="4" t="s">
        <v>57</v>
      </c>
    </row>
    <row r="29">
      <c r="A29" s="17">
        <v>28.0</v>
      </c>
      <c r="B29" s="2" t="s">
        <v>58</v>
      </c>
      <c r="C29" s="9">
        <v>1000.0</v>
      </c>
      <c r="D29" s="4" t="s">
        <v>59</v>
      </c>
    </row>
    <row r="30">
      <c r="A30" s="17">
        <v>29.0</v>
      </c>
      <c r="B30" s="2" t="s">
        <v>60</v>
      </c>
      <c r="C30" s="9">
        <v>1000.0</v>
      </c>
      <c r="D30" s="4" t="s">
        <v>61</v>
      </c>
    </row>
    <row r="31">
      <c r="A31" s="17">
        <v>30.0</v>
      </c>
      <c r="B31" s="2" t="s">
        <v>62</v>
      </c>
      <c r="C31" s="9">
        <v>1000.0</v>
      </c>
      <c r="D31" s="4" t="s">
        <v>63</v>
      </c>
    </row>
    <row r="32">
      <c r="A32" s="17">
        <v>31.0</v>
      </c>
      <c r="B32" s="2" t="s">
        <v>64</v>
      </c>
      <c r="C32" s="9">
        <v>1000.0</v>
      </c>
      <c r="D32" s="4" t="s">
        <v>65</v>
      </c>
    </row>
    <row r="33">
      <c r="A33" s="17">
        <v>32.0</v>
      </c>
      <c r="B33" s="2" t="s">
        <v>66</v>
      </c>
      <c r="C33" s="9">
        <v>1000.0</v>
      </c>
      <c r="D33" s="4" t="s">
        <v>67</v>
      </c>
    </row>
    <row r="34">
      <c r="A34" s="17">
        <v>33.0</v>
      </c>
      <c r="B34" s="18" t="s">
        <v>68</v>
      </c>
      <c r="C34" s="19">
        <v>2000.0</v>
      </c>
      <c r="D34" s="20" t="s">
        <v>69</v>
      </c>
    </row>
    <row r="35">
      <c r="A35" s="17">
        <v>34.0</v>
      </c>
      <c r="B35" s="14" t="s">
        <v>70</v>
      </c>
      <c r="C35" s="9">
        <v>1000.0</v>
      </c>
      <c r="D35" s="4" t="s">
        <v>71</v>
      </c>
    </row>
    <row r="36">
      <c r="A36" s="17">
        <v>35.0</v>
      </c>
      <c r="B36" s="2" t="s">
        <v>72</v>
      </c>
      <c r="C36" s="9">
        <v>1000.0</v>
      </c>
      <c r="D36" s="4" t="s">
        <v>73</v>
      </c>
    </row>
  </sheetData>
  <conditionalFormatting sqref="B1:B36">
    <cfRule type="notContainsBlanks" dxfId="0" priority="1">
      <formula>LEN(TRIM(B1))&gt;0</formula>
    </cfRule>
  </conditionalFormatting>
  <conditionalFormatting sqref="C1:D36">
    <cfRule type="notContainsBlanks" dxfId="1" priority="2">
      <formula>LEN(TRIM(C1))&gt;0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74</v>
      </c>
      <c r="B1" s="21" t="s">
        <v>1</v>
      </c>
      <c r="C1" s="21" t="s">
        <v>75</v>
      </c>
      <c r="D1" s="21" t="s">
        <v>76</v>
      </c>
      <c r="E1" s="21" t="s">
        <v>77</v>
      </c>
      <c r="F1" s="21" t="s">
        <v>78</v>
      </c>
      <c r="G1" s="22" t="s">
        <v>79</v>
      </c>
      <c r="H1" s="21" t="s">
        <v>80</v>
      </c>
      <c r="I1" s="21" t="s">
        <v>81</v>
      </c>
      <c r="J1" s="23" t="s">
        <v>82</v>
      </c>
    </row>
    <row r="2">
      <c r="A2" s="24">
        <v>1.0</v>
      </c>
      <c r="B2" s="25" t="s">
        <v>4</v>
      </c>
      <c r="C2" s="26">
        <v>4000.0</v>
      </c>
      <c r="D2" s="27">
        <v>200.0</v>
      </c>
      <c r="E2" s="28">
        <f>C2*0.05</f>
        <v>200</v>
      </c>
      <c r="F2" s="28">
        <f t="shared" ref="F2:F36" si="1">C2+D2+E2</f>
        <v>4400</v>
      </c>
      <c r="G2" s="29" t="s">
        <v>83</v>
      </c>
      <c r="H2" s="30" t="s">
        <v>50</v>
      </c>
      <c r="I2" s="30" t="s">
        <v>22</v>
      </c>
      <c r="J2" s="31" t="s">
        <v>84</v>
      </c>
    </row>
    <row r="3">
      <c r="A3" s="24">
        <v>2.0</v>
      </c>
      <c r="B3" s="32" t="s">
        <v>6</v>
      </c>
      <c r="C3" s="26">
        <v>10000.0</v>
      </c>
      <c r="D3" s="27">
        <v>200.0</v>
      </c>
      <c r="E3" s="33">
        <v>2500.0</v>
      </c>
      <c r="F3" s="28">
        <f t="shared" si="1"/>
        <v>12700</v>
      </c>
      <c r="G3" s="29" t="s">
        <v>83</v>
      </c>
      <c r="H3" s="30" t="s">
        <v>42</v>
      </c>
      <c r="I3" s="30" t="s">
        <v>52</v>
      </c>
      <c r="J3" s="31" t="s">
        <v>84</v>
      </c>
    </row>
    <row r="4">
      <c r="A4" s="24">
        <v>3.0</v>
      </c>
      <c r="B4" s="32" t="s">
        <v>8</v>
      </c>
      <c r="C4" s="26">
        <v>6000.0</v>
      </c>
      <c r="D4" s="27">
        <v>200.0</v>
      </c>
      <c r="E4" s="28">
        <f t="shared" ref="E4:E13" si="2">C4*0.05</f>
        <v>300</v>
      </c>
      <c r="F4" s="28">
        <f t="shared" si="1"/>
        <v>6500</v>
      </c>
      <c r="G4" s="29" t="s">
        <v>83</v>
      </c>
      <c r="H4" s="34" t="s">
        <v>85</v>
      </c>
      <c r="I4" s="34" t="s">
        <v>85</v>
      </c>
      <c r="J4" s="31" t="s">
        <v>84</v>
      </c>
    </row>
    <row r="5">
      <c r="A5" s="24">
        <v>4.0</v>
      </c>
      <c r="B5" s="32" t="s">
        <v>10</v>
      </c>
      <c r="C5" s="26">
        <v>5000.0</v>
      </c>
      <c r="D5" s="27">
        <v>200.0</v>
      </c>
      <c r="E5" s="28">
        <f t="shared" si="2"/>
        <v>250</v>
      </c>
      <c r="F5" s="28">
        <f t="shared" si="1"/>
        <v>5450</v>
      </c>
      <c r="G5" s="29" t="s">
        <v>83</v>
      </c>
      <c r="H5" s="25" t="s">
        <v>20</v>
      </c>
      <c r="I5" s="25" t="s">
        <v>8</v>
      </c>
      <c r="J5" s="31" t="s">
        <v>84</v>
      </c>
    </row>
    <row r="6">
      <c r="A6" s="24">
        <v>5.0</v>
      </c>
      <c r="B6" s="32" t="s">
        <v>12</v>
      </c>
      <c r="C6" s="26">
        <v>0.0</v>
      </c>
      <c r="D6" s="27">
        <v>200.0</v>
      </c>
      <c r="E6" s="28">
        <f t="shared" si="2"/>
        <v>0</v>
      </c>
      <c r="F6" s="28">
        <f t="shared" si="1"/>
        <v>200</v>
      </c>
      <c r="G6" s="29" t="s">
        <v>83</v>
      </c>
      <c r="H6" s="25" t="s">
        <v>86</v>
      </c>
      <c r="I6" s="25" t="s">
        <v>6</v>
      </c>
      <c r="J6" s="31" t="s">
        <v>87</v>
      </c>
    </row>
    <row r="7">
      <c r="A7" s="24">
        <v>6.0</v>
      </c>
      <c r="B7" s="32" t="s">
        <v>14</v>
      </c>
      <c r="C7" s="35">
        <v>0.0</v>
      </c>
      <c r="D7" s="27">
        <v>200.0</v>
      </c>
      <c r="E7" s="28">
        <f t="shared" si="2"/>
        <v>0</v>
      </c>
      <c r="F7" s="28">
        <f t="shared" si="1"/>
        <v>200</v>
      </c>
      <c r="G7" s="29" t="s">
        <v>83</v>
      </c>
      <c r="H7" s="25" t="s">
        <v>85</v>
      </c>
      <c r="I7" s="25" t="s">
        <v>85</v>
      </c>
      <c r="J7" s="31" t="s">
        <v>87</v>
      </c>
    </row>
    <row r="8">
      <c r="A8" s="24">
        <v>7.0</v>
      </c>
      <c r="B8" s="32" t="s">
        <v>16</v>
      </c>
      <c r="C8" s="26">
        <v>2400.0</v>
      </c>
      <c r="D8" s="27">
        <v>200.0</v>
      </c>
      <c r="E8" s="28">
        <f t="shared" si="2"/>
        <v>120</v>
      </c>
      <c r="F8" s="28">
        <f t="shared" si="1"/>
        <v>2720</v>
      </c>
      <c r="G8" s="29" t="s">
        <v>83</v>
      </c>
      <c r="H8" s="25" t="s">
        <v>38</v>
      </c>
      <c r="I8" s="25" t="s">
        <v>40</v>
      </c>
      <c r="J8" s="31" t="s">
        <v>84</v>
      </c>
    </row>
    <row r="9">
      <c r="A9" s="24">
        <v>8.0</v>
      </c>
      <c r="B9" s="32" t="s">
        <v>18</v>
      </c>
      <c r="C9" s="26">
        <v>3000.0</v>
      </c>
      <c r="D9" s="27">
        <v>200.0</v>
      </c>
      <c r="E9" s="28">
        <f t="shared" si="2"/>
        <v>150</v>
      </c>
      <c r="F9" s="28">
        <f t="shared" si="1"/>
        <v>3350</v>
      </c>
      <c r="G9" s="29" t="s">
        <v>83</v>
      </c>
      <c r="H9" s="25" t="s">
        <v>12</v>
      </c>
      <c r="I9" s="25" t="s">
        <v>6</v>
      </c>
      <c r="J9" s="31" t="s">
        <v>84</v>
      </c>
    </row>
    <row r="10">
      <c r="A10" s="24">
        <v>9.0</v>
      </c>
      <c r="B10" s="32" t="s">
        <v>20</v>
      </c>
      <c r="C10" s="26">
        <v>4000.0</v>
      </c>
      <c r="D10" s="27">
        <v>200.0</v>
      </c>
      <c r="E10" s="28">
        <f t="shared" si="2"/>
        <v>200</v>
      </c>
      <c r="F10" s="28">
        <f t="shared" si="1"/>
        <v>4400</v>
      </c>
      <c r="G10" s="29" t="s">
        <v>83</v>
      </c>
      <c r="H10" s="25" t="s">
        <v>85</v>
      </c>
      <c r="I10" s="25" t="s">
        <v>85</v>
      </c>
      <c r="J10" s="31" t="s">
        <v>84</v>
      </c>
    </row>
    <row r="11">
      <c r="A11" s="24">
        <v>10.0</v>
      </c>
      <c r="B11" s="36" t="s">
        <v>22</v>
      </c>
      <c r="C11" s="26">
        <v>5000.0</v>
      </c>
      <c r="D11" s="27">
        <v>200.0</v>
      </c>
      <c r="E11" s="28">
        <f t="shared" si="2"/>
        <v>250</v>
      </c>
      <c r="F11" s="28">
        <f t="shared" si="1"/>
        <v>5450</v>
      </c>
      <c r="G11" s="29" t="s">
        <v>83</v>
      </c>
      <c r="H11" s="25" t="s">
        <v>50</v>
      </c>
      <c r="I11" s="25" t="s">
        <v>20</v>
      </c>
      <c r="J11" s="31" t="s">
        <v>84</v>
      </c>
    </row>
    <row r="12">
      <c r="A12" s="24">
        <v>11.0</v>
      </c>
      <c r="B12" s="25" t="s">
        <v>24</v>
      </c>
      <c r="C12" s="26">
        <v>5750.0</v>
      </c>
      <c r="D12" s="37">
        <v>200.0</v>
      </c>
      <c r="E12" s="28">
        <f t="shared" si="2"/>
        <v>287.5</v>
      </c>
      <c r="F12" s="28">
        <f t="shared" si="1"/>
        <v>6237.5</v>
      </c>
      <c r="G12" s="29" t="s">
        <v>83</v>
      </c>
      <c r="H12" s="38" t="s">
        <v>50</v>
      </c>
      <c r="I12" s="38" t="s">
        <v>26</v>
      </c>
      <c r="J12" s="31" t="s">
        <v>84</v>
      </c>
    </row>
    <row r="13">
      <c r="A13" s="24">
        <v>12.0</v>
      </c>
      <c r="B13" s="32" t="s">
        <v>26</v>
      </c>
      <c r="C13" s="26">
        <v>5000.0</v>
      </c>
      <c r="D13" s="27">
        <v>200.0</v>
      </c>
      <c r="E13" s="28">
        <f t="shared" si="2"/>
        <v>250</v>
      </c>
      <c r="F13" s="28">
        <f t="shared" si="1"/>
        <v>5450</v>
      </c>
      <c r="G13" s="29" t="s">
        <v>83</v>
      </c>
      <c r="H13" s="38" t="s">
        <v>52</v>
      </c>
      <c r="I13" s="38" t="s">
        <v>18</v>
      </c>
      <c r="J13" s="31" t="s">
        <v>84</v>
      </c>
    </row>
    <row r="14">
      <c r="A14" s="24">
        <v>13.0</v>
      </c>
      <c r="B14" s="36" t="s">
        <v>28</v>
      </c>
      <c r="C14" s="26">
        <v>4000.0</v>
      </c>
      <c r="D14" s="27">
        <v>200.0</v>
      </c>
      <c r="E14" s="28">
        <f>C14*0.15</f>
        <v>600</v>
      </c>
      <c r="F14" s="28">
        <f t="shared" si="1"/>
        <v>4800</v>
      </c>
      <c r="G14" s="29" t="s">
        <v>83</v>
      </c>
      <c r="H14" s="25" t="s">
        <v>88</v>
      </c>
      <c r="I14" s="25" t="s">
        <v>86</v>
      </c>
      <c r="J14" s="31" t="s">
        <v>84</v>
      </c>
    </row>
    <row r="15">
      <c r="A15" s="24">
        <v>14.0</v>
      </c>
      <c r="B15" s="25" t="s">
        <v>30</v>
      </c>
      <c r="C15" s="26">
        <v>5000.0</v>
      </c>
      <c r="D15" s="27">
        <v>200.0</v>
      </c>
      <c r="E15" s="28">
        <f>C15*0.05</f>
        <v>250</v>
      </c>
      <c r="F15" s="28">
        <f t="shared" si="1"/>
        <v>5450</v>
      </c>
      <c r="G15" s="29" t="s">
        <v>83</v>
      </c>
      <c r="H15" s="25" t="s">
        <v>88</v>
      </c>
      <c r="I15" s="25" t="s">
        <v>62</v>
      </c>
      <c r="J15" s="31" t="s">
        <v>84</v>
      </c>
    </row>
    <row r="16">
      <c r="A16" s="24">
        <v>15.0</v>
      </c>
      <c r="B16" s="32" t="s">
        <v>32</v>
      </c>
      <c r="C16" s="26">
        <v>5000.0</v>
      </c>
      <c r="D16" s="27">
        <v>200.0</v>
      </c>
      <c r="E16" s="28">
        <f>C16*0.16</f>
        <v>800</v>
      </c>
      <c r="F16" s="28">
        <f t="shared" si="1"/>
        <v>6000</v>
      </c>
      <c r="G16" s="29" t="s">
        <v>83</v>
      </c>
      <c r="H16" s="25" t="s">
        <v>85</v>
      </c>
      <c r="I16" s="25" t="s">
        <v>85</v>
      </c>
      <c r="J16" s="31" t="s">
        <v>84</v>
      </c>
    </row>
    <row r="17">
      <c r="A17" s="24">
        <v>16.0</v>
      </c>
      <c r="B17" s="32" t="s">
        <v>34</v>
      </c>
      <c r="C17" s="26">
        <v>4000.0</v>
      </c>
      <c r="D17" s="27">
        <v>200.0</v>
      </c>
      <c r="E17" s="28">
        <f t="shared" ref="E17:E18" si="3">C17*0.05</f>
        <v>200</v>
      </c>
      <c r="F17" s="28">
        <f t="shared" si="1"/>
        <v>4400</v>
      </c>
      <c r="G17" s="29" t="s">
        <v>83</v>
      </c>
      <c r="H17" s="25" t="s">
        <v>85</v>
      </c>
      <c r="I17" s="25" t="s">
        <v>85</v>
      </c>
      <c r="J17" s="31" t="s">
        <v>84</v>
      </c>
    </row>
    <row r="18">
      <c r="A18" s="24">
        <v>17.0</v>
      </c>
      <c r="B18" s="32" t="s">
        <v>36</v>
      </c>
      <c r="C18" s="26">
        <v>4600.0</v>
      </c>
      <c r="D18" s="27">
        <v>200.0</v>
      </c>
      <c r="E18" s="28">
        <f t="shared" si="3"/>
        <v>230</v>
      </c>
      <c r="F18" s="28">
        <f t="shared" si="1"/>
        <v>5030</v>
      </c>
      <c r="G18" s="29" t="s">
        <v>83</v>
      </c>
      <c r="H18" s="25" t="s">
        <v>85</v>
      </c>
      <c r="I18" s="25" t="s">
        <v>85</v>
      </c>
      <c r="J18" s="31" t="s">
        <v>84</v>
      </c>
    </row>
    <row r="19">
      <c r="A19" s="24">
        <v>18.0</v>
      </c>
      <c r="B19" s="36" t="s">
        <v>38</v>
      </c>
      <c r="C19" s="26">
        <v>5750.0</v>
      </c>
      <c r="D19" s="37">
        <v>200.0</v>
      </c>
      <c r="E19" s="28">
        <f>C19*0.11</f>
        <v>632.5</v>
      </c>
      <c r="F19" s="28">
        <f t="shared" si="1"/>
        <v>6582.5</v>
      </c>
      <c r="G19" s="29" t="s">
        <v>83</v>
      </c>
      <c r="H19" s="25" t="s">
        <v>42</v>
      </c>
      <c r="I19" s="25" t="s">
        <v>52</v>
      </c>
      <c r="J19" s="31" t="s">
        <v>84</v>
      </c>
    </row>
    <row r="20">
      <c r="A20" s="24">
        <v>19.0</v>
      </c>
      <c r="B20" s="25" t="s">
        <v>40</v>
      </c>
      <c r="C20" s="26">
        <v>4000.0</v>
      </c>
      <c r="D20" s="27">
        <v>200.0</v>
      </c>
      <c r="E20" s="28">
        <f>C20*0.05</f>
        <v>200</v>
      </c>
      <c r="F20" s="28">
        <f t="shared" si="1"/>
        <v>4400</v>
      </c>
      <c r="G20" s="29" t="s">
        <v>83</v>
      </c>
      <c r="H20" s="30" t="s">
        <v>68</v>
      </c>
      <c r="I20" s="30" t="s">
        <v>4</v>
      </c>
      <c r="J20" s="31" t="s">
        <v>84</v>
      </c>
    </row>
    <row r="21">
      <c r="A21" s="24">
        <v>20.0</v>
      </c>
      <c r="B21" s="36" t="s">
        <v>42</v>
      </c>
      <c r="C21" s="26">
        <v>10000.0</v>
      </c>
      <c r="D21" s="27">
        <v>200.0</v>
      </c>
      <c r="E21" s="33">
        <v>2900.0</v>
      </c>
      <c r="F21" s="28">
        <f t="shared" si="1"/>
        <v>13100</v>
      </c>
      <c r="G21" s="29" t="s">
        <v>83</v>
      </c>
      <c r="H21" s="38" t="s">
        <v>6</v>
      </c>
      <c r="I21" s="38" t="s">
        <v>38</v>
      </c>
      <c r="J21" s="31" t="s">
        <v>84</v>
      </c>
    </row>
    <row r="22">
      <c r="A22" s="24">
        <v>21.0</v>
      </c>
      <c r="B22" s="36" t="s">
        <v>44</v>
      </c>
      <c r="C22" s="26">
        <v>5000.0</v>
      </c>
      <c r="D22" s="27">
        <v>200.0</v>
      </c>
      <c r="E22" s="28">
        <f t="shared" ref="E22:E23" si="4">C22*0.05</f>
        <v>250</v>
      </c>
      <c r="F22" s="28">
        <f t="shared" si="1"/>
        <v>5450</v>
      </c>
      <c r="G22" s="29" t="s">
        <v>83</v>
      </c>
      <c r="H22" s="30" t="s">
        <v>6</v>
      </c>
      <c r="I22" s="30" t="s">
        <v>64</v>
      </c>
      <c r="J22" s="31" t="s">
        <v>84</v>
      </c>
    </row>
    <row r="23">
      <c r="A23" s="24">
        <v>22.0</v>
      </c>
      <c r="B23" s="32" t="s">
        <v>46</v>
      </c>
      <c r="C23" s="35">
        <v>0.0</v>
      </c>
      <c r="D23" s="27">
        <v>200.0</v>
      </c>
      <c r="E23" s="28">
        <f t="shared" si="4"/>
        <v>0</v>
      </c>
      <c r="F23" s="28">
        <f t="shared" si="1"/>
        <v>200</v>
      </c>
      <c r="G23" s="29" t="s">
        <v>83</v>
      </c>
      <c r="H23" s="25" t="s">
        <v>85</v>
      </c>
      <c r="I23" s="25" t="s">
        <v>85</v>
      </c>
      <c r="J23" s="31" t="s">
        <v>87</v>
      </c>
    </row>
    <row r="24">
      <c r="A24" s="24">
        <v>23.0</v>
      </c>
      <c r="B24" s="25" t="s">
        <v>89</v>
      </c>
      <c r="C24" s="26">
        <v>4000.0</v>
      </c>
      <c r="D24" s="37">
        <v>200.0</v>
      </c>
      <c r="E24" s="28">
        <f t="shared" ref="E24:E25" si="5">C24*0.15</f>
        <v>600</v>
      </c>
      <c r="F24" s="28">
        <f t="shared" si="1"/>
        <v>4800</v>
      </c>
      <c r="G24" s="29" t="s">
        <v>83</v>
      </c>
      <c r="H24" s="25" t="s">
        <v>66</v>
      </c>
      <c r="I24" s="25" t="s">
        <v>58</v>
      </c>
      <c r="J24" s="31" t="s">
        <v>84</v>
      </c>
    </row>
    <row r="25">
      <c r="A25" s="24">
        <v>24.0</v>
      </c>
      <c r="B25" s="32" t="s">
        <v>50</v>
      </c>
      <c r="C25" s="26">
        <v>4000.0</v>
      </c>
      <c r="D25" s="27">
        <v>200.0</v>
      </c>
      <c r="E25" s="28">
        <f t="shared" si="5"/>
        <v>600</v>
      </c>
      <c r="F25" s="28">
        <f t="shared" si="1"/>
        <v>4800</v>
      </c>
      <c r="G25" s="29" t="s">
        <v>83</v>
      </c>
      <c r="H25" s="25" t="s">
        <v>52</v>
      </c>
      <c r="I25" s="25" t="s">
        <v>4</v>
      </c>
      <c r="J25" s="31" t="s">
        <v>84</v>
      </c>
    </row>
    <row r="26">
      <c r="A26" s="24">
        <v>25.0</v>
      </c>
      <c r="B26" s="32" t="s">
        <v>52</v>
      </c>
      <c r="C26" s="26">
        <v>10000.0</v>
      </c>
      <c r="D26" s="27">
        <v>200.0</v>
      </c>
      <c r="E26" s="28">
        <f>2300</f>
        <v>2300</v>
      </c>
      <c r="F26" s="28">
        <f t="shared" si="1"/>
        <v>12500</v>
      </c>
      <c r="G26" s="29" t="s">
        <v>83</v>
      </c>
      <c r="H26" s="25" t="s">
        <v>90</v>
      </c>
      <c r="I26" s="25" t="s">
        <v>4</v>
      </c>
      <c r="J26" s="31" t="s">
        <v>84</v>
      </c>
    </row>
    <row r="27">
      <c r="A27" s="24">
        <v>26.0</v>
      </c>
      <c r="B27" s="32" t="s">
        <v>54</v>
      </c>
      <c r="C27" s="26">
        <v>4000.0</v>
      </c>
      <c r="D27" s="27">
        <v>200.0</v>
      </c>
      <c r="E27" s="28">
        <f t="shared" ref="E27:E29" si="6">C27*0.05</f>
        <v>200</v>
      </c>
      <c r="F27" s="28">
        <f t="shared" si="1"/>
        <v>4400</v>
      </c>
      <c r="G27" s="29" t="s">
        <v>83</v>
      </c>
      <c r="H27" s="30" t="s">
        <v>56</v>
      </c>
      <c r="I27" s="30" t="s">
        <v>62</v>
      </c>
      <c r="J27" s="31" t="s">
        <v>84</v>
      </c>
    </row>
    <row r="28">
      <c r="A28" s="24">
        <v>27.0</v>
      </c>
      <c r="B28" s="32" t="s">
        <v>56</v>
      </c>
      <c r="C28" s="26">
        <v>0.0</v>
      </c>
      <c r="D28" s="27">
        <v>200.0</v>
      </c>
      <c r="E28" s="28">
        <f t="shared" si="6"/>
        <v>0</v>
      </c>
      <c r="F28" s="28">
        <f t="shared" si="1"/>
        <v>200</v>
      </c>
      <c r="G28" s="29" t="s">
        <v>83</v>
      </c>
      <c r="H28" s="25" t="s">
        <v>62</v>
      </c>
      <c r="I28" s="25" t="s">
        <v>54</v>
      </c>
      <c r="J28" s="31" t="s">
        <v>87</v>
      </c>
    </row>
    <row r="29">
      <c r="A29" s="24">
        <v>28.0</v>
      </c>
      <c r="B29" s="32" t="s">
        <v>58</v>
      </c>
      <c r="C29" s="26">
        <v>4000.0</v>
      </c>
      <c r="D29" s="37">
        <v>200.0</v>
      </c>
      <c r="E29" s="28">
        <f t="shared" si="6"/>
        <v>200</v>
      </c>
      <c r="F29" s="28">
        <f t="shared" si="1"/>
        <v>4400</v>
      </c>
      <c r="G29" s="29" t="s">
        <v>83</v>
      </c>
      <c r="H29" s="25" t="s">
        <v>64</v>
      </c>
      <c r="I29" s="32" t="s">
        <v>72</v>
      </c>
      <c r="J29" s="31" t="s">
        <v>84</v>
      </c>
    </row>
    <row r="30">
      <c r="A30" s="24">
        <v>29.0</v>
      </c>
      <c r="B30" s="32" t="s">
        <v>60</v>
      </c>
      <c r="C30" s="26">
        <v>10000.0</v>
      </c>
      <c r="D30" s="37">
        <v>200.0</v>
      </c>
      <c r="E30" s="33">
        <v>3200.0</v>
      </c>
      <c r="F30" s="28">
        <f t="shared" si="1"/>
        <v>13400</v>
      </c>
      <c r="G30" s="29" t="s">
        <v>83</v>
      </c>
      <c r="H30" s="25" t="s">
        <v>89</v>
      </c>
      <c r="I30" s="25" t="s">
        <v>66</v>
      </c>
      <c r="J30" s="31" t="s">
        <v>84</v>
      </c>
    </row>
    <row r="31">
      <c r="A31" s="24">
        <v>30.0</v>
      </c>
      <c r="B31" s="32" t="s">
        <v>62</v>
      </c>
      <c r="C31" s="26">
        <v>4000.0</v>
      </c>
      <c r="D31" s="27">
        <v>200.0</v>
      </c>
      <c r="E31" s="28">
        <f>C31*0.05</f>
        <v>200</v>
      </c>
      <c r="F31" s="28">
        <f t="shared" si="1"/>
        <v>4400</v>
      </c>
      <c r="G31" s="29" t="s">
        <v>83</v>
      </c>
      <c r="H31" s="25" t="s">
        <v>56</v>
      </c>
      <c r="I31" s="25" t="s">
        <v>54</v>
      </c>
      <c r="J31" s="31" t="s">
        <v>84</v>
      </c>
    </row>
    <row r="32">
      <c r="A32" s="24">
        <v>31.0</v>
      </c>
      <c r="B32" s="32" t="s">
        <v>64</v>
      </c>
      <c r="C32" s="26">
        <v>5000.0</v>
      </c>
      <c r="D32" s="27">
        <v>200.0</v>
      </c>
      <c r="E32" s="28">
        <f>C32*0.14</f>
        <v>700</v>
      </c>
      <c r="F32" s="28">
        <f t="shared" si="1"/>
        <v>5900</v>
      </c>
      <c r="G32" s="29" t="s">
        <v>83</v>
      </c>
      <c r="H32" s="25" t="s">
        <v>58</v>
      </c>
      <c r="I32" s="32" t="s">
        <v>72</v>
      </c>
      <c r="J32" s="31" t="s">
        <v>84</v>
      </c>
    </row>
    <row r="33">
      <c r="A33" s="24">
        <v>32.0</v>
      </c>
      <c r="B33" s="32" t="s">
        <v>66</v>
      </c>
      <c r="C33" s="26">
        <v>10000.0</v>
      </c>
      <c r="D33" s="27">
        <v>200.0</v>
      </c>
      <c r="E33" s="33">
        <v>3100.0</v>
      </c>
      <c r="F33" s="28">
        <f t="shared" si="1"/>
        <v>13300</v>
      </c>
      <c r="G33" s="29" t="s">
        <v>83</v>
      </c>
      <c r="H33" s="25" t="s">
        <v>64</v>
      </c>
      <c r="I33" s="25" t="s">
        <v>89</v>
      </c>
      <c r="J33" s="31" t="s">
        <v>84</v>
      </c>
    </row>
    <row r="34">
      <c r="A34" s="24">
        <v>33.0</v>
      </c>
      <c r="B34" s="25" t="s">
        <v>70</v>
      </c>
      <c r="C34" s="26">
        <v>0.0</v>
      </c>
      <c r="D34" s="27">
        <v>200.0</v>
      </c>
      <c r="E34" s="28">
        <f t="shared" ref="E34:E35" si="7">C34*0.05</f>
        <v>0</v>
      </c>
      <c r="F34" s="28">
        <f t="shared" si="1"/>
        <v>200</v>
      </c>
      <c r="G34" s="29" t="s">
        <v>83</v>
      </c>
      <c r="H34" s="25" t="s">
        <v>85</v>
      </c>
      <c r="I34" s="25" t="s">
        <v>85</v>
      </c>
      <c r="J34" s="31" t="s">
        <v>87</v>
      </c>
    </row>
    <row r="35">
      <c r="A35" s="24">
        <v>34.0</v>
      </c>
      <c r="B35" s="32" t="s">
        <v>72</v>
      </c>
      <c r="C35" s="26">
        <v>5000.0</v>
      </c>
      <c r="D35" s="37">
        <v>200.0</v>
      </c>
      <c r="E35" s="28">
        <f t="shared" si="7"/>
        <v>250</v>
      </c>
      <c r="F35" s="28">
        <f t="shared" si="1"/>
        <v>5450</v>
      </c>
      <c r="G35" s="29" t="s">
        <v>83</v>
      </c>
      <c r="H35" s="38" t="s">
        <v>58</v>
      </c>
      <c r="I35" s="38" t="s">
        <v>52</v>
      </c>
      <c r="J35" s="31" t="s">
        <v>84</v>
      </c>
    </row>
    <row r="36">
      <c r="A36" s="24">
        <v>35.0</v>
      </c>
      <c r="B36" s="32" t="s">
        <v>68</v>
      </c>
      <c r="C36" s="26">
        <v>4000.0</v>
      </c>
      <c r="D36" s="37">
        <v>200.0</v>
      </c>
      <c r="E36" s="28">
        <f>C36*0.15</f>
        <v>600</v>
      </c>
      <c r="F36" s="28">
        <f t="shared" si="1"/>
        <v>4800</v>
      </c>
      <c r="G36" s="29" t="s">
        <v>83</v>
      </c>
      <c r="H36" s="38" t="s">
        <v>38</v>
      </c>
      <c r="I36" s="38" t="s">
        <v>42</v>
      </c>
      <c r="J36" s="31" t="s">
        <v>84</v>
      </c>
    </row>
    <row r="37">
      <c r="A37" s="25" t="s">
        <v>91</v>
      </c>
      <c r="B37" s="25" t="s">
        <v>91</v>
      </c>
      <c r="C37" s="39">
        <f t="shared" ref="C37:D37" si="8">SUM(C2:C36)</f>
        <v>161500</v>
      </c>
      <c r="D37" s="40">
        <f t="shared" si="8"/>
        <v>7000</v>
      </c>
      <c r="E37" s="39">
        <f>SUM(E2:E35)</f>
        <v>21920</v>
      </c>
      <c r="F37" s="39">
        <f>SUM(F2:F36)</f>
        <v>191020</v>
      </c>
      <c r="G37" s="41"/>
      <c r="H37" s="25"/>
      <c r="I37" s="25"/>
      <c r="J37" s="25"/>
    </row>
  </sheetData>
  <autoFilter ref="$J$1:$J$37"/>
  <dataValidations>
    <dataValidation type="list" allowBlank="1" showErrorMessage="1" sqref="J2:J36">
      <formula1>"Pending,Status,Transferred,Settled,No Loan"</formula1>
    </dataValidation>
  </dataValidations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31.13"/>
  </cols>
  <sheetData>
    <row r="1">
      <c r="A1" s="21" t="s">
        <v>74</v>
      </c>
      <c r="B1" s="21" t="s">
        <v>1</v>
      </c>
      <c r="C1" s="21" t="s">
        <v>75</v>
      </c>
      <c r="D1" s="21" t="s">
        <v>76</v>
      </c>
      <c r="E1" s="21" t="s">
        <v>77</v>
      </c>
      <c r="F1" s="21" t="s">
        <v>78</v>
      </c>
      <c r="G1" s="22" t="s">
        <v>79</v>
      </c>
      <c r="H1" s="21" t="s">
        <v>80</v>
      </c>
      <c r="I1" s="21" t="s">
        <v>81</v>
      </c>
      <c r="J1" s="23" t="s">
        <v>82</v>
      </c>
    </row>
    <row r="2">
      <c r="A2" s="24">
        <v>1.0</v>
      </c>
      <c r="B2" s="25" t="s">
        <v>4</v>
      </c>
      <c r="C2" s="26">
        <v>4000.0</v>
      </c>
      <c r="D2" s="27">
        <v>200.0</v>
      </c>
      <c r="E2" s="28">
        <f>C2*0.05</f>
        <v>200</v>
      </c>
      <c r="F2" s="28">
        <f t="shared" ref="F2:F36" si="1">C2+D2+E2</f>
        <v>4400</v>
      </c>
      <c r="G2" s="29" t="s">
        <v>92</v>
      </c>
      <c r="H2" s="30" t="s">
        <v>50</v>
      </c>
      <c r="I2" s="30" t="s">
        <v>22</v>
      </c>
      <c r="J2" s="25" t="s">
        <v>93</v>
      </c>
    </row>
    <row r="3">
      <c r="A3" s="24">
        <v>2.0</v>
      </c>
      <c r="B3" s="32" t="s">
        <v>6</v>
      </c>
      <c r="C3" s="26">
        <v>5000.0</v>
      </c>
      <c r="D3" s="27">
        <v>200.0</v>
      </c>
      <c r="E3" s="28">
        <f>C3*0.16</f>
        <v>800</v>
      </c>
      <c r="F3" s="28">
        <f t="shared" si="1"/>
        <v>6000</v>
      </c>
      <c r="G3" s="29" t="s">
        <v>92</v>
      </c>
      <c r="H3" s="30" t="s">
        <v>42</v>
      </c>
      <c r="I3" s="30" t="s">
        <v>52</v>
      </c>
      <c r="J3" s="25" t="s">
        <v>93</v>
      </c>
    </row>
    <row r="4">
      <c r="A4" s="24">
        <v>3.0</v>
      </c>
      <c r="B4" s="32" t="s">
        <v>8</v>
      </c>
      <c r="C4" s="26">
        <v>5500.0</v>
      </c>
      <c r="D4" s="27">
        <v>200.0</v>
      </c>
      <c r="E4" s="28">
        <f t="shared" ref="E4:E11" si="2">C4*0.05</f>
        <v>275</v>
      </c>
      <c r="F4" s="28">
        <f t="shared" si="1"/>
        <v>5975</v>
      </c>
      <c r="G4" s="29" t="s">
        <v>92</v>
      </c>
      <c r="H4" s="34" t="s">
        <v>85</v>
      </c>
      <c r="I4" s="34" t="s">
        <v>85</v>
      </c>
      <c r="J4" s="31" t="s">
        <v>94</v>
      </c>
    </row>
    <row r="5">
      <c r="A5" s="24">
        <v>4.0</v>
      </c>
      <c r="B5" s="32" t="s">
        <v>10</v>
      </c>
      <c r="C5" s="26">
        <v>4000.0</v>
      </c>
      <c r="D5" s="27">
        <v>200.0</v>
      </c>
      <c r="E5" s="28">
        <f t="shared" si="2"/>
        <v>200</v>
      </c>
      <c r="F5" s="28">
        <f t="shared" si="1"/>
        <v>4400</v>
      </c>
      <c r="G5" s="29" t="s">
        <v>92</v>
      </c>
      <c r="H5" s="25" t="s">
        <v>20</v>
      </c>
      <c r="I5" s="25" t="s">
        <v>8</v>
      </c>
      <c r="J5" s="31" t="s">
        <v>94</v>
      </c>
    </row>
    <row r="6">
      <c r="A6" s="24">
        <v>5.0</v>
      </c>
      <c r="B6" s="32" t="s">
        <v>12</v>
      </c>
      <c r="C6" s="26">
        <v>4000.0</v>
      </c>
      <c r="D6" s="37">
        <v>200.0</v>
      </c>
      <c r="E6" s="28">
        <f t="shared" si="2"/>
        <v>200</v>
      </c>
      <c r="F6" s="42">
        <f t="shared" si="1"/>
        <v>4400</v>
      </c>
      <c r="G6" s="29" t="s">
        <v>92</v>
      </c>
      <c r="H6" s="25" t="s">
        <v>86</v>
      </c>
      <c r="I6" s="25" t="s">
        <v>6</v>
      </c>
      <c r="J6" s="31" t="s">
        <v>82</v>
      </c>
    </row>
    <row r="7">
      <c r="A7" s="24">
        <v>6.0</v>
      </c>
      <c r="B7" s="32" t="s">
        <v>14</v>
      </c>
      <c r="C7" s="35">
        <v>0.0</v>
      </c>
      <c r="D7" s="27">
        <v>200.0</v>
      </c>
      <c r="E7" s="28">
        <f t="shared" si="2"/>
        <v>0</v>
      </c>
      <c r="F7" s="28">
        <f t="shared" si="1"/>
        <v>200</v>
      </c>
      <c r="G7" s="29" t="s">
        <v>92</v>
      </c>
      <c r="H7" s="25" t="s">
        <v>85</v>
      </c>
      <c r="I7" s="25" t="s">
        <v>85</v>
      </c>
      <c r="J7" s="31" t="s">
        <v>84</v>
      </c>
    </row>
    <row r="8">
      <c r="A8" s="24">
        <v>7.0</v>
      </c>
      <c r="B8" s="32" t="s">
        <v>16</v>
      </c>
      <c r="C8" s="26">
        <v>2000.0</v>
      </c>
      <c r="D8" s="27">
        <v>200.0</v>
      </c>
      <c r="E8" s="28">
        <f t="shared" si="2"/>
        <v>100</v>
      </c>
      <c r="F8" s="42">
        <f t="shared" si="1"/>
        <v>2300</v>
      </c>
      <c r="G8" s="29" t="s">
        <v>92</v>
      </c>
      <c r="H8" s="25" t="s">
        <v>38</v>
      </c>
      <c r="I8" s="25" t="s">
        <v>40</v>
      </c>
      <c r="J8" s="31" t="s">
        <v>82</v>
      </c>
    </row>
    <row r="9">
      <c r="A9" s="24">
        <v>8.0</v>
      </c>
      <c r="B9" s="32" t="s">
        <v>18</v>
      </c>
      <c r="C9" s="26">
        <v>3520.0</v>
      </c>
      <c r="D9" s="37">
        <v>200.0</v>
      </c>
      <c r="E9" s="28">
        <f t="shared" si="2"/>
        <v>176</v>
      </c>
      <c r="F9" s="42">
        <f t="shared" si="1"/>
        <v>3896</v>
      </c>
      <c r="G9" s="29" t="s">
        <v>92</v>
      </c>
      <c r="H9" s="25" t="s">
        <v>12</v>
      </c>
      <c r="I9" s="25" t="s">
        <v>6</v>
      </c>
      <c r="J9" s="31" t="s">
        <v>82</v>
      </c>
    </row>
    <row r="10">
      <c r="A10" s="24">
        <v>9.0</v>
      </c>
      <c r="B10" s="32" t="s">
        <v>20</v>
      </c>
      <c r="C10" s="26">
        <v>3500.0</v>
      </c>
      <c r="D10" s="27">
        <v>200.0</v>
      </c>
      <c r="E10" s="28">
        <f t="shared" si="2"/>
        <v>175</v>
      </c>
      <c r="F10" s="28">
        <f t="shared" si="1"/>
        <v>3875</v>
      </c>
      <c r="G10" s="29" t="s">
        <v>92</v>
      </c>
      <c r="H10" s="25" t="s">
        <v>85</v>
      </c>
      <c r="I10" s="25" t="s">
        <v>85</v>
      </c>
      <c r="J10" s="25" t="s">
        <v>93</v>
      </c>
    </row>
    <row r="11">
      <c r="A11" s="24">
        <v>10.0</v>
      </c>
      <c r="B11" s="36" t="s">
        <v>22</v>
      </c>
      <c r="C11" s="26">
        <v>4000.0</v>
      </c>
      <c r="D11" s="27">
        <v>200.0</v>
      </c>
      <c r="E11" s="28">
        <f t="shared" si="2"/>
        <v>200</v>
      </c>
      <c r="F11" s="28">
        <f t="shared" si="1"/>
        <v>4400</v>
      </c>
      <c r="G11" s="29" t="s">
        <v>92</v>
      </c>
      <c r="H11" s="25" t="s">
        <v>50</v>
      </c>
      <c r="I11" s="25" t="s">
        <v>20</v>
      </c>
      <c r="J11" s="25" t="s">
        <v>93</v>
      </c>
    </row>
    <row r="12">
      <c r="A12" s="24">
        <v>11.0</v>
      </c>
      <c r="B12" s="25" t="s">
        <v>24</v>
      </c>
      <c r="C12" s="26">
        <v>5000.0</v>
      </c>
      <c r="D12" s="37">
        <v>200.0</v>
      </c>
      <c r="E12" s="28">
        <f>C12*0.11</f>
        <v>550</v>
      </c>
      <c r="F12" s="28">
        <f t="shared" si="1"/>
        <v>5750</v>
      </c>
      <c r="G12" s="29" t="s">
        <v>92</v>
      </c>
      <c r="H12" s="38" t="s">
        <v>50</v>
      </c>
      <c r="I12" s="38" t="s">
        <v>26</v>
      </c>
      <c r="J12" s="31" t="s">
        <v>94</v>
      </c>
    </row>
    <row r="13">
      <c r="A13" s="24">
        <v>12.0</v>
      </c>
      <c r="B13" s="32" t="s">
        <v>26</v>
      </c>
      <c r="C13" s="26">
        <v>4000.0</v>
      </c>
      <c r="D13" s="27">
        <v>200.0</v>
      </c>
      <c r="E13" s="28">
        <f>C13*0.05</f>
        <v>200</v>
      </c>
      <c r="F13" s="28">
        <f t="shared" si="1"/>
        <v>4400</v>
      </c>
      <c r="G13" s="29" t="s">
        <v>92</v>
      </c>
      <c r="H13" s="38" t="s">
        <v>52</v>
      </c>
      <c r="I13" s="38" t="s">
        <v>18</v>
      </c>
      <c r="J13" s="25" t="s">
        <v>93</v>
      </c>
    </row>
    <row r="14">
      <c r="A14" s="24">
        <v>13.0</v>
      </c>
      <c r="B14" s="36" t="s">
        <v>28</v>
      </c>
      <c r="C14" s="26">
        <v>5000.0</v>
      </c>
      <c r="D14" s="27">
        <v>200.0</v>
      </c>
      <c r="E14" s="28">
        <f>C14*0.15</f>
        <v>750</v>
      </c>
      <c r="F14" s="28">
        <f t="shared" si="1"/>
        <v>5950</v>
      </c>
      <c r="G14" s="29" t="s">
        <v>92</v>
      </c>
      <c r="H14" s="25" t="s">
        <v>88</v>
      </c>
      <c r="I14" s="25" t="s">
        <v>86</v>
      </c>
      <c r="J14" s="31" t="s">
        <v>82</v>
      </c>
    </row>
    <row r="15">
      <c r="A15" s="24">
        <v>14.0</v>
      </c>
      <c r="B15" s="25" t="s">
        <v>30</v>
      </c>
      <c r="C15" s="26">
        <v>0.0</v>
      </c>
      <c r="D15" s="27">
        <v>200.0</v>
      </c>
      <c r="E15" s="28">
        <f>C15*0.05</f>
        <v>0</v>
      </c>
      <c r="F15" s="28">
        <f t="shared" si="1"/>
        <v>200</v>
      </c>
      <c r="G15" s="29" t="s">
        <v>92</v>
      </c>
      <c r="H15" s="25" t="s">
        <v>88</v>
      </c>
      <c r="I15" s="25" t="s">
        <v>62</v>
      </c>
      <c r="J15" s="31" t="s">
        <v>87</v>
      </c>
    </row>
    <row r="16">
      <c r="A16" s="24">
        <v>15.0</v>
      </c>
      <c r="B16" s="32" t="s">
        <v>32</v>
      </c>
      <c r="C16" s="26">
        <v>5000.0</v>
      </c>
      <c r="D16" s="27">
        <v>200.0</v>
      </c>
      <c r="E16" s="28">
        <f>C16*0.16</f>
        <v>800</v>
      </c>
      <c r="F16" s="28">
        <f t="shared" si="1"/>
        <v>6000</v>
      </c>
      <c r="G16" s="29" t="s">
        <v>92</v>
      </c>
      <c r="H16" s="25" t="s">
        <v>85</v>
      </c>
      <c r="I16" s="25" t="s">
        <v>85</v>
      </c>
      <c r="J16" s="31" t="s">
        <v>82</v>
      </c>
    </row>
    <row r="17">
      <c r="A17" s="24">
        <v>16.0</v>
      </c>
      <c r="B17" s="32" t="s">
        <v>34</v>
      </c>
      <c r="C17" s="26">
        <v>0.0</v>
      </c>
      <c r="D17" s="27">
        <v>200.0</v>
      </c>
      <c r="E17" s="28">
        <f t="shared" ref="E17:E18" si="3">C17*0.05</f>
        <v>0</v>
      </c>
      <c r="F17" s="28">
        <f t="shared" si="1"/>
        <v>200</v>
      </c>
      <c r="G17" s="29" t="s">
        <v>92</v>
      </c>
      <c r="H17" s="25" t="s">
        <v>85</v>
      </c>
      <c r="I17" s="25" t="s">
        <v>85</v>
      </c>
      <c r="J17" s="25" t="s">
        <v>93</v>
      </c>
    </row>
    <row r="18">
      <c r="A18" s="24">
        <v>17.0</v>
      </c>
      <c r="B18" s="32" t="s">
        <v>36</v>
      </c>
      <c r="C18" s="26">
        <v>4000.0</v>
      </c>
      <c r="D18" s="27">
        <v>200.0</v>
      </c>
      <c r="E18" s="28">
        <f t="shared" si="3"/>
        <v>200</v>
      </c>
      <c r="F18" s="28">
        <f t="shared" si="1"/>
        <v>4400</v>
      </c>
      <c r="G18" s="29" t="s">
        <v>92</v>
      </c>
      <c r="H18" s="25" t="s">
        <v>85</v>
      </c>
      <c r="I18" s="25" t="s">
        <v>85</v>
      </c>
      <c r="J18" s="31" t="s">
        <v>94</v>
      </c>
    </row>
    <row r="19">
      <c r="A19" s="24">
        <v>18.0</v>
      </c>
      <c r="B19" s="36" t="s">
        <v>38</v>
      </c>
      <c r="C19" s="26">
        <v>5000.0</v>
      </c>
      <c r="D19" s="37">
        <v>200.0</v>
      </c>
      <c r="E19" s="28">
        <f>C19*0.11</f>
        <v>550</v>
      </c>
      <c r="F19" s="28">
        <f t="shared" si="1"/>
        <v>5750</v>
      </c>
      <c r="G19" s="29" t="s">
        <v>92</v>
      </c>
      <c r="H19" s="25" t="s">
        <v>42</v>
      </c>
      <c r="I19" s="25" t="s">
        <v>52</v>
      </c>
      <c r="J19" s="31" t="s">
        <v>94</v>
      </c>
    </row>
    <row r="20">
      <c r="A20" s="24">
        <v>19.0</v>
      </c>
      <c r="B20" s="25" t="s">
        <v>40</v>
      </c>
      <c r="C20" s="26">
        <v>4000.0</v>
      </c>
      <c r="D20" s="27">
        <v>200.0</v>
      </c>
      <c r="E20" s="28">
        <f>C20*0.05</f>
        <v>200</v>
      </c>
      <c r="F20" s="28">
        <f t="shared" si="1"/>
        <v>4400</v>
      </c>
      <c r="G20" s="29" t="s">
        <v>92</v>
      </c>
      <c r="H20" s="30" t="s">
        <v>68</v>
      </c>
      <c r="I20" s="30" t="s">
        <v>4</v>
      </c>
      <c r="J20" s="25" t="s">
        <v>93</v>
      </c>
    </row>
    <row r="21">
      <c r="A21" s="24">
        <v>20.0</v>
      </c>
      <c r="B21" s="36" t="s">
        <v>42</v>
      </c>
      <c r="C21" s="26">
        <v>5000.0</v>
      </c>
      <c r="D21" s="27">
        <v>200.0</v>
      </c>
      <c r="E21" s="28">
        <f>C21*0.15</f>
        <v>750</v>
      </c>
      <c r="F21" s="28">
        <f t="shared" si="1"/>
        <v>5950</v>
      </c>
      <c r="G21" s="29" t="s">
        <v>92</v>
      </c>
      <c r="H21" s="38" t="s">
        <v>6</v>
      </c>
      <c r="I21" s="38" t="s">
        <v>38</v>
      </c>
      <c r="J21" s="25" t="s">
        <v>93</v>
      </c>
    </row>
    <row r="22">
      <c r="A22" s="24">
        <v>21.0</v>
      </c>
      <c r="B22" s="36" t="s">
        <v>44</v>
      </c>
      <c r="C22" s="26">
        <v>4000.0</v>
      </c>
      <c r="D22" s="27">
        <v>200.0</v>
      </c>
      <c r="E22" s="28">
        <f t="shared" ref="E22:E23" si="4">C22*0.05</f>
        <v>200</v>
      </c>
      <c r="F22" s="28">
        <f t="shared" si="1"/>
        <v>4400</v>
      </c>
      <c r="G22" s="29" t="s">
        <v>92</v>
      </c>
      <c r="H22" s="30" t="s">
        <v>6</v>
      </c>
      <c r="I22" s="30" t="s">
        <v>64</v>
      </c>
      <c r="J22" s="25" t="s">
        <v>93</v>
      </c>
    </row>
    <row r="23">
      <c r="A23" s="24">
        <v>22.0</v>
      </c>
      <c r="B23" s="32" t="s">
        <v>46</v>
      </c>
      <c r="C23" s="35">
        <v>0.0</v>
      </c>
      <c r="D23" s="27">
        <v>200.0</v>
      </c>
      <c r="E23" s="28">
        <f t="shared" si="4"/>
        <v>0</v>
      </c>
      <c r="F23" s="28">
        <f t="shared" si="1"/>
        <v>200</v>
      </c>
      <c r="G23" s="29" t="s">
        <v>92</v>
      </c>
      <c r="H23" s="25" t="s">
        <v>85</v>
      </c>
      <c r="I23" s="25" t="s">
        <v>85</v>
      </c>
      <c r="J23" s="31" t="s">
        <v>87</v>
      </c>
    </row>
    <row r="24">
      <c r="A24" s="24">
        <v>23.0</v>
      </c>
      <c r="B24" s="25" t="s">
        <v>89</v>
      </c>
      <c r="C24" s="26">
        <v>5000.0</v>
      </c>
      <c r="D24" s="37">
        <v>200.0</v>
      </c>
      <c r="E24" s="28">
        <f t="shared" ref="E24:E25" si="5">C24*0.15</f>
        <v>750</v>
      </c>
      <c r="F24" s="28">
        <f t="shared" si="1"/>
        <v>5950</v>
      </c>
      <c r="G24" s="29" t="s">
        <v>92</v>
      </c>
      <c r="H24" s="25" t="s">
        <v>66</v>
      </c>
      <c r="I24" s="25" t="s">
        <v>58</v>
      </c>
      <c r="J24" s="31" t="s">
        <v>82</v>
      </c>
    </row>
    <row r="25">
      <c r="A25" s="24">
        <v>24.0</v>
      </c>
      <c r="B25" s="32" t="s">
        <v>50</v>
      </c>
      <c r="C25" s="26">
        <v>5000.0</v>
      </c>
      <c r="D25" s="27">
        <v>200.0</v>
      </c>
      <c r="E25" s="28">
        <f t="shared" si="5"/>
        <v>750</v>
      </c>
      <c r="F25" s="28">
        <f t="shared" si="1"/>
        <v>5950</v>
      </c>
      <c r="G25" s="29" t="s">
        <v>92</v>
      </c>
      <c r="H25" s="25" t="s">
        <v>52</v>
      </c>
      <c r="I25" s="25" t="s">
        <v>4</v>
      </c>
      <c r="J25" s="31" t="s">
        <v>82</v>
      </c>
    </row>
    <row r="26">
      <c r="A26" s="24">
        <v>25.0</v>
      </c>
      <c r="B26" s="32" t="s">
        <v>52</v>
      </c>
      <c r="C26" s="26">
        <v>10000.0</v>
      </c>
      <c r="D26" s="27">
        <v>200.0</v>
      </c>
      <c r="E26" s="28">
        <f>C26*0.27</f>
        <v>2700</v>
      </c>
      <c r="F26" s="28">
        <f t="shared" si="1"/>
        <v>12900</v>
      </c>
      <c r="G26" s="29" t="s">
        <v>92</v>
      </c>
      <c r="H26" s="25" t="s">
        <v>90</v>
      </c>
      <c r="I26" s="25" t="s">
        <v>4</v>
      </c>
      <c r="J26" s="25" t="s">
        <v>93</v>
      </c>
    </row>
    <row r="27">
      <c r="A27" s="24">
        <v>26.0</v>
      </c>
      <c r="B27" s="32" t="s">
        <v>54</v>
      </c>
      <c r="C27" s="26">
        <v>4000.0</v>
      </c>
      <c r="D27" s="27">
        <v>200.0</v>
      </c>
      <c r="E27" s="28">
        <f t="shared" ref="E27:E29" si="6">C27*0.05</f>
        <v>200</v>
      </c>
      <c r="F27" s="28">
        <f t="shared" si="1"/>
        <v>4400</v>
      </c>
      <c r="G27" s="29" t="s">
        <v>92</v>
      </c>
      <c r="H27" s="30" t="s">
        <v>56</v>
      </c>
      <c r="I27" s="30" t="s">
        <v>62</v>
      </c>
      <c r="J27" s="31" t="s">
        <v>82</v>
      </c>
    </row>
    <row r="28">
      <c r="A28" s="24">
        <v>27.0</v>
      </c>
      <c r="B28" s="32" t="s">
        <v>56</v>
      </c>
      <c r="C28" s="26">
        <v>0.0</v>
      </c>
      <c r="D28" s="27">
        <v>200.0</v>
      </c>
      <c r="E28" s="28">
        <f t="shared" si="6"/>
        <v>0</v>
      </c>
      <c r="F28" s="28">
        <f t="shared" si="1"/>
        <v>200</v>
      </c>
      <c r="G28" s="29" t="s">
        <v>92</v>
      </c>
      <c r="H28" s="25" t="s">
        <v>62</v>
      </c>
      <c r="I28" s="25" t="s">
        <v>54</v>
      </c>
      <c r="J28" s="25" t="s">
        <v>93</v>
      </c>
    </row>
    <row r="29">
      <c r="A29" s="24">
        <v>28.0</v>
      </c>
      <c r="B29" s="32" t="s">
        <v>58</v>
      </c>
      <c r="C29" s="26">
        <v>4000.0</v>
      </c>
      <c r="D29" s="37">
        <v>200.0</v>
      </c>
      <c r="E29" s="28">
        <f t="shared" si="6"/>
        <v>200</v>
      </c>
      <c r="F29" s="28">
        <f t="shared" si="1"/>
        <v>4400</v>
      </c>
      <c r="G29" s="29" t="s">
        <v>92</v>
      </c>
      <c r="H29" s="25" t="s">
        <v>64</v>
      </c>
      <c r="I29" s="32" t="s">
        <v>72</v>
      </c>
      <c r="J29" s="25" t="s">
        <v>93</v>
      </c>
    </row>
    <row r="30">
      <c r="A30" s="24">
        <v>29.0</v>
      </c>
      <c r="B30" s="32" t="s">
        <v>60</v>
      </c>
      <c r="C30" s="26">
        <v>5000.0</v>
      </c>
      <c r="D30" s="37">
        <v>200.0</v>
      </c>
      <c r="E30" s="28">
        <f>C30*0.16</f>
        <v>800</v>
      </c>
      <c r="F30" s="28">
        <f t="shared" si="1"/>
        <v>6000</v>
      </c>
      <c r="G30" s="29" t="s">
        <v>92</v>
      </c>
      <c r="H30" s="25" t="s">
        <v>89</v>
      </c>
      <c r="I30" s="25" t="s">
        <v>66</v>
      </c>
      <c r="J30" s="25" t="s">
        <v>93</v>
      </c>
    </row>
    <row r="31">
      <c r="A31" s="24">
        <v>30.0</v>
      </c>
      <c r="B31" s="32" t="s">
        <v>62</v>
      </c>
      <c r="C31" s="26">
        <v>4000.0</v>
      </c>
      <c r="D31" s="27">
        <v>200.0</v>
      </c>
      <c r="E31" s="28">
        <f>C31*0.05</f>
        <v>200</v>
      </c>
      <c r="F31" s="28">
        <f t="shared" si="1"/>
        <v>4400</v>
      </c>
      <c r="G31" s="29" t="s">
        <v>92</v>
      </c>
      <c r="H31" s="25" t="s">
        <v>56</v>
      </c>
      <c r="I31" s="25" t="s">
        <v>54</v>
      </c>
      <c r="J31" s="31" t="s">
        <v>87</v>
      </c>
    </row>
    <row r="32">
      <c r="A32" s="24">
        <v>31.0</v>
      </c>
      <c r="B32" s="32" t="s">
        <v>64</v>
      </c>
      <c r="C32" s="26">
        <v>5000.0</v>
      </c>
      <c r="D32" s="27">
        <v>200.0</v>
      </c>
      <c r="E32" s="28">
        <f>C32*0.14</f>
        <v>700</v>
      </c>
      <c r="F32" s="28">
        <f t="shared" si="1"/>
        <v>5900</v>
      </c>
      <c r="G32" s="29" t="s">
        <v>92</v>
      </c>
      <c r="H32" s="25" t="s">
        <v>58</v>
      </c>
      <c r="I32" s="32" t="s">
        <v>72</v>
      </c>
      <c r="J32" s="31" t="s">
        <v>93</v>
      </c>
    </row>
    <row r="33">
      <c r="A33" s="24">
        <v>32.0</v>
      </c>
      <c r="B33" s="32" t="s">
        <v>66</v>
      </c>
      <c r="C33" s="26">
        <v>10000.0</v>
      </c>
      <c r="D33" s="27">
        <v>200.0</v>
      </c>
      <c r="E33" s="28">
        <f>C33*0.32</f>
        <v>3200</v>
      </c>
      <c r="F33" s="28">
        <f t="shared" si="1"/>
        <v>13400</v>
      </c>
      <c r="G33" s="29" t="s">
        <v>92</v>
      </c>
      <c r="H33" s="25" t="s">
        <v>64</v>
      </c>
      <c r="I33" s="25" t="s">
        <v>89</v>
      </c>
      <c r="J33" s="31" t="s">
        <v>93</v>
      </c>
    </row>
    <row r="34">
      <c r="A34" s="24">
        <v>33.0</v>
      </c>
      <c r="B34" s="25" t="s">
        <v>70</v>
      </c>
      <c r="C34" s="35">
        <v>0.0</v>
      </c>
      <c r="D34" s="27">
        <v>200.0</v>
      </c>
      <c r="E34" s="28">
        <f t="shared" ref="E34:E35" si="7">C34*0.05</f>
        <v>0</v>
      </c>
      <c r="F34" s="28">
        <f t="shared" si="1"/>
        <v>200</v>
      </c>
      <c r="G34" s="29" t="s">
        <v>92</v>
      </c>
      <c r="H34" s="25" t="s">
        <v>85</v>
      </c>
      <c r="I34" s="25" t="s">
        <v>85</v>
      </c>
      <c r="J34" s="31" t="s">
        <v>87</v>
      </c>
    </row>
    <row r="35">
      <c r="A35" s="24">
        <v>34.0</v>
      </c>
      <c r="B35" s="32" t="s">
        <v>72</v>
      </c>
      <c r="C35" s="26">
        <v>4000.0</v>
      </c>
      <c r="D35" s="37">
        <v>200.0</v>
      </c>
      <c r="E35" s="28">
        <f t="shared" si="7"/>
        <v>200</v>
      </c>
      <c r="F35" s="28">
        <f t="shared" si="1"/>
        <v>4400</v>
      </c>
      <c r="G35" s="29" t="s">
        <v>92</v>
      </c>
      <c r="H35" s="38" t="s">
        <v>58</v>
      </c>
      <c r="I35" s="38" t="s">
        <v>52</v>
      </c>
      <c r="J35" s="31" t="s">
        <v>93</v>
      </c>
    </row>
    <row r="36">
      <c r="A36" s="24">
        <v>35.0</v>
      </c>
      <c r="B36" s="32" t="s">
        <v>68</v>
      </c>
      <c r="C36" s="26">
        <v>5000.0</v>
      </c>
      <c r="D36" s="37">
        <v>200.0</v>
      </c>
      <c r="E36" s="28">
        <f>C36*0.15</f>
        <v>750</v>
      </c>
      <c r="F36" s="28">
        <f t="shared" si="1"/>
        <v>5950</v>
      </c>
      <c r="G36" s="29" t="s">
        <v>92</v>
      </c>
      <c r="H36" s="38" t="s">
        <v>38</v>
      </c>
      <c r="I36" s="38" t="s">
        <v>42</v>
      </c>
      <c r="J36" s="31" t="s">
        <v>82</v>
      </c>
    </row>
    <row r="37">
      <c r="A37" s="25" t="s">
        <v>91</v>
      </c>
      <c r="B37" s="25" t="s">
        <v>91</v>
      </c>
      <c r="C37" s="39">
        <f t="shared" ref="C37:F37" si="8">SUM(C2:C36)</f>
        <v>137520</v>
      </c>
      <c r="D37" s="40">
        <f t="shared" si="8"/>
        <v>7000</v>
      </c>
      <c r="E37" s="39">
        <f t="shared" si="8"/>
        <v>16976</v>
      </c>
      <c r="F37" s="39">
        <f t="shared" si="8"/>
        <v>161496</v>
      </c>
      <c r="G37" s="41"/>
      <c r="H37" s="25"/>
      <c r="I37" s="25"/>
      <c r="J37" s="25"/>
    </row>
  </sheetData>
  <autoFilter ref="$J$1:$J$1000"/>
  <dataValidations>
    <dataValidation type="list" allowBlank="1" showErrorMessage="1" sqref="J2:J37">
      <formula1>"Pending,Status,Transferred,Settled,No Loan"</formula1>
    </dataValidation>
  </dataValidations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74</v>
      </c>
      <c r="B1" s="21" t="s">
        <v>1</v>
      </c>
      <c r="C1" s="21" t="s">
        <v>75</v>
      </c>
      <c r="D1" s="21" t="s">
        <v>76</v>
      </c>
      <c r="E1" s="21" t="s">
        <v>77</v>
      </c>
      <c r="F1" s="21" t="s">
        <v>78</v>
      </c>
      <c r="G1" s="22" t="s">
        <v>79</v>
      </c>
      <c r="H1" s="21" t="s">
        <v>80</v>
      </c>
      <c r="I1" s="21" t="s">
        <v>81</v>
      </c>
      <c r="J1" s="23" t="s">
        <v>82</v>
      </c>
    </row>
    <row r="2">
      <c r="A2" s="24">
        <v>1.0</v>
      </c>
      <c r="B2" s="25" t="s">
        <v>4</v>
      </c>
      <c r="C2" s="26">
        <v>3500.0</v>
      </c>
      <c r="D2" s="27">
        <v>200.0</v>
      </c>
      <c r="E2" s="28">
        <f t="shared" ref="E2:E11" si="1">C2*0.05</f>
        <v>175</v>
      </c>
      <c r="F2" s="28">
        <f t="shared" ref="F2:F36" si="2">C2+D2+E2</f>
        <v>3875</v>
      </c>
      <c r="G2" s="29" t="s">
        <v>92</v>
      </c>
      <c r="H2" s="30" t="s">
        <v>50</v>
      </c>
      <c r="I2" s="30" t="s">
        <v>22</v>
      </c>
      <c r="J2" s="25" t="s">
        <v>93</v>
      </c>
    </row>
    <row r="3">
      <c r="A3" s="24">
        <v>2.0</v>
      </c>
      <c r="B3" s="32" t="s">
        <v>6</v>
      </c>
      <c r="C3" s="26">
        <v>3500.0</v>
      </c>
      <c r="D3" s="27">
        <v>200.0</v>
      </c>
      <c r="E3" s="28">
        <f t="shared" si="1"/>
        <v>175</v>
      </c>
      <c r="F3" s="28">
        <f t="shared" si="2"/>
        <v>3875</v>
      </c>
      <c r="G3" s="29" t="s">
        <v>92</v>
      </c>
      <c r="H3" s="30" t="s">
        <v>42</v>
      </c>
      <c r="I3" s="30" t="s">
        <v>52</v>
      </c>
      <c r="J3" s="25" t="s">
        <v>93</v>
      </c>
    </row>
    <row r="4">
      <c r="A4" s="24">
        <v>3.0</v>
      </c>
      <c r="B4" s="32" t="s">
        <v>8</v>
      </c>
      <c r="C4" s="26">
        <v>5500.0</v>
      </c>
      <c r="D4" s="27">
        <v>200.0</v>
      </c>
      <c r="E4" s="28">
        <f t="shared" si="1"/>
        <v>275</v>
      </c>
      <c r="F4" s="28">
        <f t="shared" si="2"/>
        <v>5975</v>
      </c>
      <c r="G4" s="29" t="s">
        <v>92</v>
      </c>
      <c r="H4" s="34" t="s">
        <v>85</v>
      </c>
      <c r="I4" s="34" t="s">
        <v>85</v>
      </c>
      <c r="J4" s="31" t="s">
        <v>93</v>
      </c>
    </row>
    <row r="5">
      <c r="A5" s="24">
        <v>4.0</v>
      </c>
      <c r="B5" s="32" t="s">
        <v>10</v>
      </c>
      <c r="C5" s="26">
        <v>3500.0</v>
      </c>
      <c r="D5" s="27">
        <v>200.0</v>
      </c>
      <c r="E5" s="28">
        <f t="shared" si="1"/>
        <v>175</v>
      </c>
      <c r="F5" s="28">
        <f t="shared" si="2"/>
        <v>3875</v>
      </c>
      <c r="G5" s="29" t="s">
        <v>92</v>
      </c>
      <c r="H5" s="25" t="s">
        <v>20</v>
      </c>
      <c r="I5" s="25" t="s">
        <v>8</v>
      </c>
      <c r="J5" s="25" t="s">
        <v>93</v>
      </c>
    </row>
    <row r="6">
      <c r="A6" s="24">
        <v>5.0</v>
      </c>
      <c r="B6" s="32" t="s">
        <v>12</v>
      </c>
      <c r="C6" s="26">
        <v>3500.0</v>
      </c>
      <c r="D6" s="27">
        <v>200.0</v>
      </c>
      <c r="E6" s="28">
        <f t="shared" si="1"/>
        <v>175</v>
      </c>
      <c r="F6" s="28">
        <f t="shared" si="2"/>
        <v>3875</v>
      </c>
      <c r="G6" s="29" t="s">
        <v>92</v>
      </c>
      <c r="H6" s="25" t="s">
        <v>86</v>
      </c>
      <c r="I6" s="25" t="s">
        <v>6</v>
      </c>
      <c r="J6" s="25" t="s">
        <v>93</v>
      </c>
    </row>
    <row r="7">
      <c r="A7" s="24">
        <v>6.0</v>
      </c>
      <c r="B7" s="32" t="s">
        <v>14</v>
      </c>
      <c r="C7" s="35">
        <v>0.0</v>
      </c>
      <c r="D7" s="27">
        <v>200.0</v>
      </c>
      <c r="E7" s="28">
        <f t="shared" si="1"/>
        <v>0</v>
      </c>
      <c r="F7" s="28">
        <f t="shared" si="2"/>
        <v>200</v>
      </c>
      <c r="G7" s="29" t="s">
        <v>92</v>
      </c>
      <c r="H7" s="25" t="s">
        <v>85</v>
      </c>
      <c r="I7" s="25" t="s">
        <v>85</v>
      </c>
      <c r="J7" s="31" t="s">
        <v>87</v>
      </c>
    </row>
    <row r="8">
      <c r="A8" s="24">
        <v>7.0</v>
      </c>
      <c r="B8" s="32" t="s">
        <v>16</v>
      </c>
      <c r="C8" s="26">
        <v>1500.0</v>
      </c>
      <c r="D8" s="27">
        <v>200.0</v>
      </c>
      <c r="E8" s="28">
        <f t="shared" si="1"/>
        <v>75</v>
      </c>
      <c r="F8" s="28">
        <f t="shared" si="2"/>
        <v>1775</v>
      </c>
      <c r="G8" s="29" t="s">
        <v>92</v>
      </c>
      <c r="H8" s="25" t="s">
        <v>38</v>
      </c>
      <c r="I8" s="25" t="s">
        <v>40</v>
      </c>
      <c r="J8" s="25" t="s">
        <v>93</v>
      </c>
    </row>
    <row r="9">
      <c r="A9" s="24">
        <v>8.0</v>
      </c>
      <c r="B9" s="32" t="s">
        <v>18</v>
      </c>
      <c r="C9" s="26">
        <v>2500.0</v>
      </c>
      <c r="D9" s="27">
        <v>200.0</v>
      </c>
      <c r="E9" s="28">
        <f t="shared" si="1"/>
        <v>125</v>
      </c>
      <c r="F9" s="28">
        <f t="shared" si="2"/>
        <v>2825</v>
      </c>
      <c r="G9" s="29" t="s">
        <v>92</v>
      </c>
      <c r="H9" s="25" t="s">
        <v>12</v>
      </c>
      <c r="I9" s="25" t="s">
        <v>6</v>
      </c>
      <c r="J9" s="25" t="s">
        <v>93</v>
      </c>
    </row>
    <row r="10">
      <c r="A10" s="24">
        <v>9.0</v>
      </c>
      <c r="B10" s="32" t="s">
        <v>20</v>
      </c>
      <c r="C10" s="26">
        <v>3000.0</v>
      </c>
      <c r="D10" s="27">
        <v>200.0</v>
      </c>
      <c r="E10" s="28">
        <f t="shared" si="1"/>
        <v>150</v>
      </c>
      <c r="F10" s="28">
        <f t="shared" si="2"/>
        <v>3350</v>
      </c>
      <c r="G10" s="29" t="s">
        <v>92</v>
      </c>
      <c r="H10" s="25" t="s">
        <v>85</v>
      </c>
      <c r="I10" s="25" t="s">
        <v>85</v>
      </c>
      <c r="J10" s="25" t="s">
        <v>93</v>
      </c>
    </row>
    <row r="11">
      <c r="A11" s="24">
        <v>10.0</v>
      </c>
      <c r="B11" s="36" t="s">
        <v>22</v>
      </c>
      <c r="C11" s="26">
        <v>3500.0</v>
      </c>
      <c r="D11" s="27">
        <v>200.0</v>
      </c>
      <c r="E11" s="28">
        <f t="shared" si="1"/>
        <v>175</v>
      </c>
      <c r="F11" s="28">
        <f t="shared" si="2"/>
        <v>3875</v>
      </c>
      <c r="G11" s="29" t="s">
        <v>92</v>
      </c>
      <c r="H11" s="25" t="s">
        <v>50</v>
      </c>
      <c r="I11" s="25" t="s">
        <v>20</v>
      </c>
      <c r="J11" s="25" t="s">
        <v>93</v>
      </c>
    </row>
    <row r="12">
      <c r="A12" s="24">
        <v>11.0</v>
      </c>
      <c r="B12" s="25" t="s">
        <v>24</v>
      </c>
      <c r="C12" s="26">
        <v>5000.0</v>
      </c>
      <c r="D12" s="37">
        <v>200.0</v>
      </c>
      <c r="E12" s="28">
        <f>C12*0.11</f>
        <v>550</v>
      </c>
      <c r="F12" s="28">
        <f t="shared" si="2"/>
        <v>5750</v>
      </c>
      <c r="G12" s="29" t="s">
        <v>92</v>
      </c>
      <c r="H12" s="38" t="s">
        <v>50</v>
      </c>
      <c r="I12" s="38" t="s">
        <v>26</v>
      </c>
      <c r="J12" s="31" t="s">
        <v>93</v>
      </c>
    </row>
    <row r="13">
      <c r="A13" s="24">
        <v>12.0</v>
      </c>
      <c r="B13" s="32" t="s">
        <v>26</v>
      </c>
      <c r="C13" s="26">
        <v>3000.0</v>
      </c>
      <c r="D13" s="27">
        <v>200.0</v>
      </c>
      <c r="E13" s="28">
        <f t="shared" ref="E13:E18" si="3">C13*0.05</f>
        <v>150</v>
      </c>
      <c r="F13" s="28">
        <f t="shared" si="2"/>
        <v>3350</v>
      </c>
      <c r="G13" s="29" t="s">
        <v>92</v>
      </c>
      <c r="H13" s="38" t="s">
        <v>52</v>
      </c>
      <c r="I13" s="38" t="s">
        <v>18</v>
      </c>
      <c r="J13" s="25" t="s">
        <v>93</v>
      </c>
    </row>
    <row r="14">
      <c r="A14" s="24">
        <v>13.0</v>
      </c>
      <c r="B14" s="36" t="s">
        <v>28</v>
      </c>
      <c r="C14" s="26">
        <v>3000.0</v>
      </c>
      <c r="D14" s="27">
        <v>200.0</v>
      </c>
      <c r="E14" s="28">
        <f t="shared" si="3"/>
        <v>150</v>
      </c>
      <c r="F14" s="28">
        <f t="shared" si="2"/>
        <v>3350</v>
      </c>
      <c r="G14" s="29" t="s">
        <v>92</v>
      </c>
      <c r="H14" s="25" t="s">
        <v>88</v>
      </c>
      <c r="I14" s="25" t="s">
        <v>86</v>
      </c>
      <c r="J14" s="25" t="s">
        <v>93</v>
      </c>
    </row>
    <row r="15">
      <c r="A15" s="24">
        <v>14.0</v>
      </c>
      <c r="B15" s="25" t="s">
        <v>30</v>
      </c>
      <c r="C15" s="26">
        <v>0.0</v>
      </c>
      <c r="D15" s="27">
        <v>200.0</v>
      </c>
      <c r="E15" s="28">
        <f t="shared" si="3"/>
        <v>0</v>
      </c>
      <c r="F15" s="28">
        <f t="shared" si="2"/>
        <v>200</v>
      </c>
      <c r="G15" s="29" t="s">
        <v>92</v>
      </c>
      <c r="H15" s="25" t="s">
        <v>88</v>
      </c>
      <c r="I15" s="25" t="s">
        <v>62</v>
      </c>
      <c r="J15" s="31" t="s">
        <v>87</v>
      </c>
    </row>
    <row r="16">
      <c r="A16" s="24">
        <v>15.0</v>
      </c>
      <c r="B16" s="32" t="s">
        <v>32</v>
      </c>
      <c r="C16" s="26">
        <v>3000.0</v>
      </c>
      <c r="D16" s="27">
        <v>200.0</v>
      </c>
      <c r="E16" s="28">
        <f t="shared" si="3"/>
        <v>150</v>
      </c>
      <c r="F16" s="28">
        <f t="shared" si="2"/>
        <v>3350</v>
      </c>
      <c r="G16" s="29" t="s">
        <v>92</v>
      </c>
      <c r="H16" s="25" t="s">
        <v>85</v>
      </c>
      <c r="I16" s="25" t="s">
        <v>85</v>
      </c>
      <c r="J16" s="25" t="s">
        <v>93</v>
      </c>
    </row>
    <row r="17">
      <c r="A17" s="24">
        <v>16.0</v>
      </c>
      <c r="B17" s="32" t="s">
        <v>34</v>
      </c>
      <c r="C17" s="26">
        <v>2000.0</v>
      </c>
      <c r="D17" s="27">
        <v>200.0</v>
      </c>
      <c r="E17" s="28">
        <f t="shared" si="3"/>
        <v>100</v>
      </c>
      <c r="F17" s="28">
        <f t="shared" si="2"/>
        <v>2300</v>
      </c>
      <c r="G17" s="29" t="s">
        <v>92</v>
      </c>
      <c r="H17" s="25" t="s">
        <v>85</v>
      </c>
      <c r="I17" s="25" t="s">
        <v>85</v>
      </c>
      <c r="J17" s="25" t="s">
        <v>93</v>
      </c>
    </row>
    <row r="18">
      <c r="A18" s="24">
        <v>17.0</v>
      </c>
      <c r="B18" s="32" t="s">
        <v>36</v>
      </c>
      <c r="C18" s="26">
        <v>0.0</v>
      </c>
      <c r="D18" s="27">
        <v>200.0</v>
      </c>
      <c r="E18" s="28">
        <f t="shared" si="3"/>
        <v>0</v>
      </c>
      <c r="F18" s="28">
        <f t="shared" si="2"/>
        <v>200</v>
      </c>
      <c r="G18" s="29" t="s">
        <v>92</v>
      </c>
      <c r="H18" s="25" t="s">
        <v>85</v>
      </c>
      <c r="I18" s="25" t="s">
        <v>85</v>
      </c>
      <c r="J18" s="31" t="s">
        <v>87</v>
      </c>
    </row>
    <row r="19">
      <c r="A19" s="24">
        <v>18.0</v>
      </c>
      <c r="B19" s="36" t="s">
        <v>38</v>
      </c>
      <c r="C19" s="26">
        <v>5000.0</v>
      </c>
      <c r="D19" s="37">
        <v>200.0</v>
      </c>
      <c r="E19" s="28">
        <f>C19*0.11</f>
        <v>550</v>
      </c>
      <c r="F19" s="28">
        <f t="shared" si="2"/>
        <v>5750</v>
      </c>
      <c r="G19" s="29" t="s">
        <v>92</v>
      </c>
      <c r="H19" s="25" t="s">
        <v>42</v>
      </c>
      <c r="I19" s="25" t="s">
        <v>52</v>
      </c>
      <c r="J19" s="25" t="s">
        <v>93</v>
      </c>
    </row>
    <row r="20">
      <c r="A20" s="24">
        <v>19.0</v>
      </c>
      <c r="B20" s="25" t="s">
        <v>40</v>
      </c>
      <c r="C20" s="26">
        <v>3500.0</v>
      </c>
      <c r="D20" s="27">
        <v>200.0</v>
      </c>
      <c r="E20" s="28">
        <f t="shared" ref="E20:E21" si="4">C20*0.05</f>
        <v>175</v>
      </c>
      <c r="F20" s="28">
        <f t="shared" si="2"/>
        <v>3875</v>
      </c>
      <c r="G20" s="29" t="s">
        <v>92</v>
      </c>
      <c r="H20" s="30" t="s">
        <v>68</v>
      </c>
      <c r="I20" s="30" t="s">
        <v>4</v>
      </c>
      <c r="J20" s="25" t="s">
        <v>93</v>
      </c>
    </row>
    <row r="21">
      <c r="A21" s="24">
        <v>20.0</v>
      </c>
      <c r="B21" s="36" t="s">
        <v>42</v>
      </c>
      <c r="C21" s="26">
        <v>3500.0</v>
      </c>
      <c r="D21" s="27">
        <v>200.0</v>
      </c>
      <c r="E21" s="28">
        <f t="shared" si="4"/>
        <v>175</v>
      </c>
      <c r="F21" s="28">
        <f t="shared" si="2"/>
        <v>3875</v>
      </c>
      <c r="G21" s="29" t="s">
        <v>92</v>
      </c>
      <c r="H21" s="38" t="s">
        <v>6</v>
      </c>
      <c r="I21" s="38" t="s">
        <v>38</v>
      </c>
      <c r="J21" s="25" t="s">
        <v>93</v>
      </c>
    </row>
    <row r="22">
      <c r="A22" s="24">
        <v>21.0</v>
      </c>
      <c r="B22" s="36" t="s">
        <v>44</v>
      </c>
      <c r="C22" s="26">
        <v>5000.0</v>
      </c>
      <c r="D22" s="27">
        <v>200.0</v>
      </c>
      <c r="E22" s="28">
        <f>C22*0.1</f>
        <v>500</v>
      </c>
      <c r="F22" s="28">
        <f t="shared" si="2"/>
        <v>5700</v>
      </c>
      <c r="G22" s="29" t="s">
        <v>92</v>
      </c>
      <c r="H22" s="30" t="s">
        <v>6</v>
      </c>
      <c r="I22" s="30" t="s">
        <v>64</v>
      </c>
      <c r="J22" s="25" t="s">
        <v>93</v>
      </c>
    </row>
    <row r="23">
      <c r="A23" s="24">
        <v>22.0</v>
      </c>
      <c r="B23" s="32" t="s">
        <v>46</v>
      </c>
      <c r="C23" s="35">
        <v>0.0</v>
      </c>
      <c r="D23" s="27">
        <v>200.0</v>
      </c>
      <c r="E23" s="28">
        <f>C23*0.05</f>
        <v>0</v>
      </c>
      <c r="F23" s="28">
        <f t="shared" si="2"/>
        <v>200</v>
      </c>
      <c r="G23" s="29" t="s">
        <v>92</v>
      </c>
      <c r="H23" s="25" t="s">
        <v>85</v>
      </c>
      <c r="I23" s="25" t="s">
        <v>85</v>
      </c>
      <c r="J23" s="31" t="s">
        <v>87</v>
      </c>
    </row>
    <row r="24">
      <c r="A24" s="24">
        <v>23.0</v>
      </c>
      <c r="B24" s="25" t="s">
        <v>89</v>
      </c>
      <c r="C24" s="26">
        <v>5000.0</v>
      </c>
      <c r="D24" s="37">
        <v>200.0</v>
      </c>
      <c r="E24" s="28">
        <f>C24*0.1</f>
        <v>500</v>
      </c>
      <c r="F24" s="28">
        <f t="shared" si="2"/>
        <v>5700</v>
      </c>
      <c r="G24" s="29" t="s">
        <v>92</v>
      </c>
      <c r="H24" s="25" t="s">
        <v>66</v>
      </c>
      <c r="I24" s="25" t="s">
        <v>58</v>
      </c>
      <c r="J24" s="25" t="s">
        <v>93</v>
      </c>
    </row>
    <row r="25">
      <c r="A25" s="24">
        <v>24.0</v>
      </c>
      <c r="B25" s="32" t="s">
        <v>50</v>
      </c>
      <c r="C25" s="26">
        <v>2252.75</v>
      </c>
      <c r="D25" s="27">
        <v>200.0</v>
      </c>
      <c r="E25" s="28">
        <f>C25*0.05</f>
        <v>112.6375</v>
      </c>
      <c r="F25" s="28">
        <f t="shared" si="2"/>
        <v>2565.3875</v>
      </c>
      <c r="G25" s="29" t="s">
        <v>92</v>
      </c>
      <c r="H25" s="25" t="s">
        <v>52</v>
      </c>
      <c r="I25" s="25" t="s">
        <v>4</v>
      </c>
      <c r="J25" s="31" t="s">
        <v>93</v>
      </c>
    </row>
    <row r="26">
      <c r="A26" s="24">
        <v>25.0</v>
      </c>
      <c r="B26" s="32" t="s">
        <v>52</v>
      </c>
      <c r="C26" s="26">
        <v>10000.0</v>
      </c>
      <c r="D26" s="27">
        <v>200.0</v>
      </c>
      <c r="E26" s="28">
        <f>C26*0.2</f>
        <v>2000</v>
      </c>
      <c r="F26" s="28">
        <f t="shared" si="2"/>
        <v>12200</v>
      </c>
      <c r="G26" s="29" t="s">
        <v>92</v>
      </c>
      <c r="H26" s="25" t="s">
        <v>90</v>
      </c>
      <c r="I26" s="25" t="s">
        <v>4</v>
      </c>
      <c r="J26" s="25" t="s">
        <v>93</v>
      </c>
    </row>
    <row r="27">
      <c r="A27" s="24">
        <v>26.0</v>
      </c>
      <c r="B27" s="32" t="s">
        <v>54</v>
      </c>
      <c r="C27" s="26">
        <v>3500.0</v>
      </c>
      <c r="D27" s="27">
        <v>200.0</v>
      </c>
      <c r="E27" s="28">
        <f t="shared" ref="E27:E28" si="5">C27*0.05</f>
        <v>175</v>
      </c>
      <c r="F27" s="28">
        <f t="shared" si="2"/>
        <v>3875</v>
      </c>
      <c r="G27" s="29" t="s">
        <v>92</v>
      </c>
      <c r="H27" s="30" t="s">
        <v>56</v>
      </c>
      <c r="I27" s="30" t="s">
        <v>62</v>
      </c>
      <c r="J27" s="31" t="s">
        <v>93</v>
      </c>
    </row>
    <row r="28">
      <c r="A28" s="24">
        <v>27.0</v>
      </c>
      <c r="B28" s="32" t="s">
        <v>56</v>
      </c>
      <c r="C28" s="26">
        <v>2000.0</v>
      </c>
      <c r="D28" s="27">
        <v>200.0</v>
      </c>
      <c r="E28" s="28">
        <f t="shared" si="5"/>
        <v>100</v>
      </c>
      <c r="F28" s="28">
        <f t="shared" si="2"/>
        <v>2300</v>
      </c>
      <c r="G28" s="29" t="s">
        <v>92</v>
      </c>
      <c r="H28" s="25" t="s">
        <v>62</v>
      </c>
      <c r="I28" s="25" t="s">
        <v>54</v>
      </c>
      <c r="J28" s="25" t="s">
        <v>93</v>
      </c>
    </row>
    <row r="29">
      <c r="A29" s="24">
        <v>28.0</v>
      </c>
      <c r="B29" s="32" t="s">
        <v>58</v>
      </c>
      <c r="C29" s="26">
        <v>5000.0</v>
      </c>
      <c r="D29" s="37">
        <v>200.0</v>
      </c>
      <c r="E29" s="28">
        <f>C29*0.11</f>
        <v>550</v>
      </c>
      <c r="F29" s="28">
        <f t="shared" si="2"/>
        <v>5750</v>
      </c>
      <c r="G29" s="29" t="s">
        <v>92</v>
      </c>
      <c r="H29" s="25" t="s">
        <v>64</v>
      </c>
      <c r="I29" s="32" t="s">
        <v>72</v>
      </c>
      <c r="J29" s="25" t="s">
        <v>93</v>
      </c>
    </row>
    <row r="30">
      <c r="A30" s="24">
        <v>29.0</v>
      </c>
      <c r="B30" s="32" t="s">
        <v>60</v>
      </c>
      <c r="C30" s="26">
        <v>5000.0</v>
      </c>
      <c r="D30" s="37">
        <v>200.0</v>
      </c>
      <c r="E30" s="28">
        <f>C30*0.1</f>
        <v>500</v>
      </c>
      <c r="F30" s="28">
        <f t="shared" si="2"/>
        <v>5700</v>
      </c>
      <c r="G30" s="29" t="s">
        <v>92</v>
      </c>
      <c r="H30" s="25" t="s">
        <v>89</v>
      </c>
      <c r="I30" s="25" t="s">
        <v>66</v>
      </c>
      <c r="J30" s="25" t="s">
        <v>93</v>
      </c>
    </row>
    <row r="31">
      <c r="A31" s="24">
        <v>30.0</v>
      </c>
      <c r="B31" s="32" t="s">
        <v>62</v>
      </c>
      <c r="C31" s="26">
        <v>0.0</v>
      </c>
      <c r="D31" s="27">
        <v>200.0</v>
      </c>
      <c r="E31" s="28">
        <f t="shared" ref="E31:E32" si="6">C31*0.05</f>
        <v>0</v>
      </c>
      <c r="F31" s="28">
        <f t="shared" si="2"/>
        <v>200</v>
      </c>
      <c r="G31" s="29" t="s">
        <v>92</v>
      </c>
      <c r="H31" s="25" t="s">
        <v>56</v>
      </c>
      <c r="I31" s="25" t="s">
        <v>54</v>
      </c>
      <c r="J31" s="31" t="s">
        <v>87</v>
      </c>
    </row>
    <row r="32">
      <c r="A32" s="24">
        <v>31.0</v>
      </c>
      <c r="B32" s="32" t="s">
        <v>64</v>
      </c>
      <c r="C32" s="26">
        <v>3500.0</v>
      </c>
      <c r="D32" s="27">
        <v>200.0</v>
      </c>
      <c r="E32" s="28">
        <f t="shared" si="6"/>
        <v>175</v>
      </c>
      <c r="F32" s="28">
        <f t="shared" si="2"/>
        <v>3875</v>
      </c>
      <c r="G32" s="29" t="s">
        <v>92</v>
      </c>
      <c r="H32" s="25" t="s">
        <v>58</v>
      </c>
      <c r="I32" s="32" t="s">
        <v>72</v>
      </c>
      <c r="J32" s="31" t="s">
        <v>93</v>
      </c>
    </row>
    <row r="33">
      <c r="A33" s="24">
        <v>32.0</v>
      </c>
      <c r="B33" s="32" t="s">
        <v>66</v>
      </c>
      <c r="C33" s="26">
        <v>10000.0</v>
      </c>
      <c r="D33" s="27">
        <v>200.0</v>
      </c>
      <c r="E33" s="28">
        <f>C33*0.21</f>
        <v>2100</v>
      </c>
      <c r="F33" s="28">
        <f t="shared" si="2"/>
        <v>12300</v>
      </c>
      <c r="G33" s="29" t="s">
        <v>92</v>
      </c>
      <c r="H33" s="25" t="s">
        <v>64</v>
      </c>
      <c r="I33" s="25" t="s">
        <v>89</v>
      </c>
      <c r="J33" s="31" t="s">
        <v>93</v>
      </c>
    </row>
    <row r="34">
      <c r="A34" s="24">
        <v>33.0</v>
      </c>
      <c r="B34" s="25" t="s">
        <v>70</v>
      </c>
      <c r="C34" s="35">
        <v>0.0</v>
      </c>
      <c r="D34" s="27">
        <v>200.0</v>
      </c>
      <c r="E34" s="28">
        <f>C34*0.05</f>
        <v>0</v>
      </c>
      <c r="F34" s="28">
        <f t="shared" si="2"/>
        <v>200</v>
      </c>
      <c r="G34" s="29" t="s">
        <v>92</v>
      </c>
      <c r="H34" s="25" t="s">
        <v>85</v>
      </c>
      <c r="I34" s="25" t="s">
        <v>85</v>
      </c>
      <c r="J34" s="31" t="s">
        <v>87</v>
      </c>
    </row>
    <row r="35">
      <c r="A35" s="24">
        <v>34.0</v>
      </c>
      <c r="B35" s="32" t="s">
        <v>72</v>
      </c>
      <c r="C35" s="26">
        <v>5000.0</v>
      </c>
      <c r="D35" s="37">
        <v>200.0</v>
      </c>
      <c r="E35" s="28">
        <f>C35*0.1</f>
        <v>500</v>
      </c>
      <c r="F35" s="28">
        <f t="shared" si="2"/>
        <v>5700</v>
      </c>
      <c r="G35" s="29" t="s">
        <v>92</v>
      </c>
      <c r="H35" s="38" t="s">
        <v>58</v>
      </c>
      <c r="I35" s="38" t="s">
        <v>52</v>
      </c>
      <c r="J35" s="31" t="s">
        <v>93</v>
      </c>
    </row>
    <row r="36">
      <c r="A36" s="24">
        <v>35.0</v>
      </c>
      <c r="B36" s="32" t="s">
        <v>68</v>
      </c>
      <c r="C36" s="26">
        <v>5000.0</v>
      </c>
      <c r="D36" s="37">
        <v>200.0</v>
      </c>
      <c r="E36" s="28">
        <f>C36*0.11</f>
        <v>550</v>
      </c>
      <c r="F36" s="28">
        <f t="shared" si="2"/>
        <v>5750</v>
      </c>
      <c r="G36" s="29" t="s">
        <v>92</v>
      </c>
      <c r="H36" s="38" t="s">
        <v>38</v>
      </c>
      <c r="I36" s="38" t="s">
        <v>42</v>
      </c>
      <c r="J36" s="25" t="s">
        <v>93</v>
      </c>
    </row>
    <row r="37">
      <c r="A37" s="25" t="s">
        <v>91</v>
      </c>
      <c r="B37" s="25" t="s">
        <v>91</v>
      </c>
      <c r="C37" s="39">
        <f t="shared" ref="C37:F37" si="7">SUM(C2:C36)</f>
        <v>119252.75</v>
      </c>
      <c r="D37" s="40">
        <f t="shared" si="7"/>
        <v>7000</v>
      </c>
      <c r="E37" s="39">
        <f t="shared" si="7"/>
        <v>11262.6375</v>
      </c>
      <c r="F37" s="39">
        <f t="shared" si="7"/>
        <v>137515.3875</v>
      </c>
      <c r="G37" s="41"/>
      <c r="H37" s="25"/>
      <c r="I37" s="25"/>
      <c r="J37" s="25"/>
    </row>
  </sheetData>
  <autoFilter ref="$J$1:$J$37"/>
  <dataValidations>
    <dataValidation type="list" allowBlank="1" showErrorMessage="1" sqref="J2:J37">
      <formula1>"Pending,Status,Transferred,Settled,No Loan"</formula1>
    </dataValidation>
  </dataValidations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2.25"/>
    <col customWidth="1" min="3" max="3" width="10.13"/>
    <col customWidth="1" min="4" max="4" width="5.63"/>
    <col customWidth="1" min="5" max="5" width="9.13"/>
    <col customWidth="1" min="6" max="6" width="10.13"/>
    <col customWidth="1" min="7" max="7" width="10.25"/>
    <col customWidth="1" min="8" max="8" width="8.38"/>
    <col customWidth="1" min="9" max="9" width="6.88"/>
    <col customWidth="1" min="10" max="10" width="14.63"/>
  </cols>
  <sheetData>
    <row r="1">
      <c r="A1" s="43" t="s">
        <v>74</v>
      </c>
      <c r="B1" s="43" t="s">
        <v>1</v>
      </c>
      <c r="C1" s="43" t="s">
        <v>75</v>
      </c>
      <c r="D1" s="43" t="s">
        <v>76</v>
      </c>
      <c r="E1" s="43" t="s">
        <v>77</v>
      </c>
      <c r="F1" s="43" t="s">
        <v>78</v>
      </c>
      <c r="G1" s="44" t="s">
        <v>79</v>
      </c>
      <c r="H1" s="43" t="s">
        <v>80</v>
      </c>
      <c r="I1" s="43" t="s">
        <v>81</v>
      </c>
      <c r="J1" s="43" t="s">
        <v>82</v>
      </c>
    </row>
    <row r="2">
      <c r="A2" s="24">
        <v>1.0</v>
      </c>
      <c r="B2" s="6" t="s">
        <v>4</v>
      </c>
      <c r="C2" s="26">
        <v>3000.0</v>
      </c>
      <c r="D2" s="14">
        <v>200.0</v>
      </c>
      <c r="E2" s="45">
        <f>C2*0.05</f>
        <v>150</v>
      </c>
      <c r="F2" s="45">
        <f t="shared" ref="F2:F36" si="1">C2+D2+E2</f>
        <v>3350</v>
      </c>
      <c r="G2" s="46" t="s">
        <v>95</v>
      </c>
      <c r="H2" s="47" t="s">
        <v>50</v>
      </c>
      <c r="I2" s="47" t="s">
        <v>22</v>
      </c>
      <c r="J2" s="14" t="s">
        <v>93</v>
      </c>
    </row>
    <row r="3">
      <c r="A3" s="24">
        <v>2.0</v>
      </c>
      <c r="B3" s="2" t="s">
        <v>6</v>
      </c>
      <c r="C3" s="26">
        <v>10000.0</v>
      </c>
      <c r="D3" s="14">
        <v>200.0</v>
      </c>
      <c r="E3" s="45">
        <f>C3*0.12</f>
        <v>1200</v>
      </c>
      <c r="F3" s="45">
        <f t="shared" si="1"/>
        <v>11400</v>
      </c>
      <c r="G3" s="46" t="s">
        <v>95</v>
      </c>
      <c r="H3" s="47" t="s">
        <v>42</v>
      </c>
      <c r="I3" s="47" t="s">
        <v>52</v>
      </c>
      <c r="J3" s="14" t="s">
        <v>93</v>
      </c>
    </row>
    <row r="4">
      <c r="A4" s="24">
        <v>3.0</v>
      </c>
      <c r="B4" s="2" t="s">
        <v>8</v>
      </c>
      <c r="C4" s="26">
        <v>6000.0</v>
      </c>
      <c r="D4" s="14">
        <v>200.0</v>
      </c>
      <c r="E4" s="45">
        <f t="shared" ref="E4:E18" si="2">C4*0.05</f>
        <v>300</v>
      </c>
      <c r="F4" s="45">
        <f t="shared" si="1"/>
        <v>6500</v>
      </c>
      <c r="G4" s="46" t="s">
        <v>95</v>
      </c>
      <c r="H4" s="48" t="s">
        <v>85</v>
      </c>
      <c r="I4" s="48" t="s">
        <v>85</v>
      </c>
      <c r="J4" s="14" t="s">
        <v>84</v>
      </c>
    </row>
    <row r="5">
      <c r="A5" s="24">
        <v>4.0</v>
      </c>
      <c r="B5" s="2" t="s">
        <v>10</v>
      </c>
      <c r="C5" s="26">
        <v>4000.0</v>
      </c>
      <c r="D5" s="14">
        <v>200.0</v>
      </c>
      <c r="E5" s="45">
        <f t="shared" si="2"/>
        <v>200</v>
      </c>
      <c r="F5" s="45">
        <f t="shared" si="1"/>
        <v>4400</v>
      </c>
      <c r="G5" s="46" t="s">
        <v>95</v>
      </c>
      <c r="H5" s="14" t="s">
        <v>20</v>
      </c>
      <c r="I5" s="14" t="s">
        <v>8</v>
      </c>
      <c r="J5" s="14" t="s">
        <v>93</v>
      </c>
    </row>
    <row r="6">
      <c r="A6" s="24">
        <v>5.0</v>
      </c>
      <c r="B6" s="2" t="s">
        <v>12</v>
      </c>
      <c r="C6" s="26">
        <v>0.0</v>
      </c>
      <c r="D6" s="14">
        <v>200.0</v>
      </c>
      <c r="E6" s="45">
        <f t="shared" si="2"/>
        <v>0</v>
      </c>
      <c r="F6" s="45">
        <f t="shared" si="1"/>
        <v>200</v>
      </c>
      <c r="G6" s="46" t="s">
        <v>95</v>
      </c>
      <c r="H6" s="14" t="s">
        <v>86</v>
      </c>
      <c r="I6" s="14" t="s">
        <v>6</v>
      </c>
      <c r="J6" s="14" t="s">
        <v>93</v>
      </c>
    </row>
    <row r="7">
      <c r="A7" s="24">
        <v>6.0</v>
      </c>
      <c r="B7" s="2" t="s">
        <v>14</v>
      </c>
      <c r="C7" s="35">
        <v>0.0</v>
      </c>
      <c r="D7" s="14">
        <v>200.0</v>
      </c>
      <c r="E7" s="45">
        <f t="shared" si="2"/>
        <v>0</v>
      </c>
      <c r="F7" s="45">
        <f t="shared" si="1"/>
        <v>200</v>
      </c>
      <c r="G7" s="46" t="s">
        <v>95</v>
      </c>
      <c r="H7" s="14" t="s">
        <v>85</v>
      </c>
      <c r="I7" s="14" t="s">
        <v>85</v>
      </c>
      <c r="J7" s="14" t="s">
        <v>84</v>
      </c>
    </row>
    <row r="8">
      <c r="A8" s="24">
        <v>7.0</v>
      </c>
      <c r="B8" s="2" t="s">
        <v>16</v>
      </c>
      <c r="C8" s="26">
        <v>0.0</v>
      </c>
      <c r="D8" s="14">
        <v>200.0</v>
      </c>
      <c r="E8" s="45">
        <f t="shared" si="2"/>
        <v>0</v>
      </c>
      <c r="F8" s="45">
        <f t="shared" si="1"/>
        <v>200</v>
      </c>
      <c r="G8" s="46" t="s">
        <v>95</v>
      </c>
      <c r="H8" s="14" t="s">
        <v>38</v>
      </c>
      <c r="I8" s="14" t="s">
        <v>40</v>
      </c>
      <c r="J8" s="14" t="s">
        <v>93</v>
      </c>
    </row>
    <row r="9">
      <c r="A9" s="24">
        <v>8.0</v>
      </c>
      <c r="B9" s="2" t="s">
        <v>18</v>
      </c>
      <c r="C9" s="26">
        <v>755.0</v>
      </c>
      <c r="D9" s="14">
        <v>200.0</v>
      </c>
      <c r="E9" s="45">
        <f t="shared" si="2"/>
        <v>37.75</v>
      </c>
      <c r="F9" s="45">
        <f t="shared" si="1"/>
        <v>992.75</v>
      </c>
      <c r="G9" s="46" t="s">
        <v>95</v>
      </c>
      <c r="H9" s="14" t="s">
        <v>12</v>
      </c>
      <c r="I9" s="14" t="s">
        <v>6</v>
      </c>
      <c r="J9" s="14" t="s">
        <v>93</v>
      </c>
    </row>
    <row r="10">
      <c r="A10" s="24">
        <v>9.0</v>
      </c>
      <c r="B10" s="2" t="s">
        <v>20</v>
      </c>
      <c r="C10" s="26">
        <v>0.0</v>
      </c>
      <c r="D10" s="14">
        <v>200.0</v>
      </c>
      <c r="E10" s="45">
        <f t="shared" si="2"/>
        <v>0</v>
      </c>
      <c r="F10" s="45">
        <f t="shared" si="1"/>
        <v>200</v>
      </c>
      <c r="G10" s="46" t="s">
        <v>95</v>
      </c>
      <c r="H10" s="14" t="s">
        <v>85</v>
      </c>
      <c r="I10" s="14" t="s">
        <v>85</v>
      </c>
      <c r="J10" s="14" t="s">
        <v>93</v>
      </c>
    </row>
    <row r="11">
      <c r="A11" s="24">
        <v>10.0</v>
      </c>
      <c r="B11" s="13" t="s">
        <v>22</v>
      </c>
      <c r="C11" s="26">
        <v>3000.0</v>
      </c>
      <c r="D11" s="14">
        <v>200.0</v>
      </c>
      <c r="E11" s="45">
        <f t="shared" si="2"/>
        <v>150</v>
      </c>
      <c r="F11" s="45">
        <f t="shared" si="1"/>
        <v>3350</v>
      </c>
      <c r="G11" s="46" t="s">
        <v>95</v>
      </c>
      <c r="H11" s="14" t="s">
        <v>50</v>
      </c>
      <c r="I11" s="14" t="s">
        <v>20</v>
      </c>
      <c r="J11" s="14" t="s">
        <v>93</v>
      </c>
    </row>
    <row r="12">
      <c r="A12" s="24">
        <v>11.0</v>
      </c>
      <c r="B12" s="14" t="s">
        <v>24</v>
      </c>
      <c r="C12" s="49">
        <v>4000.0</v>
      </c>
      <c r="D12" s="14">
        <v>200.0</v>
      </c>
      <c r="E12" s="45">
        <f t="shared" si="2"/>
        <v>200</v>
      </c>
      <c r="F12" s="45">
        <f t="shared" si="1"/>
        <v>4400</v>
      </c>
      <c r="G12" s="46" t="s">
        <v>95</v>
      </c>
      <c r="H12" s="50" t="s">
        <v>50</v>
      </c>
      <c r="I12" s="50" t="s">
        <v>26</v>
      </c>
      <c r="J12" s="14" t="s">
        <v>84</v>
      </c>
    </row>
    <row r="13">
      <c r="A13" s="24">
        <v>12.0</v>
      </c>
      <c r="B13" s="2" t="s">
        <v>26</v>
      </c>
      <c r="C13" s="26">
        <v>3000.0</v>
      </c>
      <c r="D13" s="14">
        <v>200.0</v>
      </c>
      <c r="E13" s="45">
        <f t="shared" si="2"/>
        <v>150</v>
      </c>
      <c r="F13" s="45">
        <f t="shared" si="1"/>
        <v>3350</v>
      </c>
      <c r="G13" s="46" t="s">
        <v>95</v>
      </c>
      <c r="H13" s="50" t="s">
        <v>52</v>
      </c>
      <c r="I13" s="50" t="s">
        <v>18</v>
      </c>
      <c r="J13" s="14" t="s">
        <v>93</v>
      </c>
    </row>
    <row r="14">
      <c r="A14" s="24">
        <v>13.0</v>
      </c>
      <c r="B14" s="13" t="s">
        <v>28</v>
      </c>
      <c r="C14" s="26">
        <v>3000.0</v>
      </c>
      <c r="D14" s="14">
        <v>200.0</v>
      </c>
      <c r="E14" s="45">
        <f t="shared" si="2"/>
        <v>150</v>
      </c>
      <c r="F14" s="45">
        <f t="shared" si="1"/>
        <v>3350</v>
      </c>
      <c r="G14" s="46" t="s">
        <v>95</v>
      </c>
      <c r="H14" s="14" t="s">
        <v>88</v>
      </c>
      <c r="I14" s="14" t="s">
        <v>86</v>
      </c>
      <c r="J14" s="14" t="s">
        <v>93</v>
      </c>
    </row>
    <row r="15">
      <c r="A15" s="24">
        <v>14.0</v>
      </c>
      <c r="B15" s="14" t="s">
        <v>30</v>
      </c>
      <c r="C15" s="26">
        <v>3000.0</v>
      </c>
      <c r="D15" s="14">
        <v>200.0</v>
      </c>
      <c r="E15" s="45">
        <f t="shared" si="2"/>
        <v>150</v>
      </c>
      <c r="F15" s="45">
        <f t="shared" si="1"/>
        <v>3350</v>
      </c>
      <c r="G15" s="46" t="s">
        <v>95</v>
      </c>
      <c r="H15" s="14" t="s">
        <v>88</v>
      </c>
      <c r="I15" s="14" t="s">
        <v>62</v>
      </c>
      <c r="J15" s="14" t="s">
        <v>93</v>
      </c>
    </row>
    <row r="16">
      <c r="A16" s="24">
        <v>15.0</v>
      </c>
      <c r="B16" s="2" t="s">
        <v>32</v>
      </c>
      <c r="C16" s="26">
        <v>3000.0</v>
      </c>
      <c r="D16" s="14">
        <v>200.0</v>
      </c>
      <c r="E16" s="45">
        <f t="shared" si="2"/>
        <v>150</v>
      </c>
      <c r="F16" s="45">
        <f t="shared" si="1"/>
        <v>3350</v>
      </c>
      <c r="G16" s="46" t="s">
        <v>95</v>
      </c>
      <c r="H16" s="14" t="s">
        <v>85</v>
      </c>
      <c r="I16" s="14" t="s">
        <v>85</v>
      </c>
      <c r="J16" s="14" t="s">
        <v>93</v>
      </c>
    </row>
    <row r="17">
      <c r="A17" s="24">
        <v>16.0</v>
      </c>
      <c r="B17" s="2" t="s">
        <v>34</v>
      </c>
      <c r="C17" s="26">
        <v>0.0</v>
      </c>
      <c r="D17" s="14">
        <v>200.0</v>
      </c>
      <c r="E17" s="45">
        <f t="shared" si="2"/>
        <v>0</v>
      </c>
      <c r="F17" s="45">
        <f t="shared" si="1"/>
        <v>200</v>
      </c>
      <c r="G17" s="46" t="s">
        <v>95</v>
      </c>
      <c r="H17" s="14" t="s">
        <v>85</v>
      </c>
      <c r="I17" s="14" t="s">
        <v>85</v>
      </c>
      <c r="J17" s="14" t="s">
        <v>93</v>
      </c>
    </row>
    <row r="18">
      <c r="A18" s="24">
        <v>17.0</v>
      </c>
      <c r="B18" s="2" t="s">
        <v>36</v>
      </c>
      <c r="C18" s="26">
        <v>2000.0</v>
      </c>
      <c r="D18" s="14">
        <v>200.0</v>
      </c>
      <c r="E18" s="45">
        <f t="shared" si="2"/>
        <v>100</v>
      </c>
      <c r="F18" s="45">
        <f t="shared" si="1"/>
        <v>2300</v>
      </c>
      <c r="G18" s="46" t="s">
        <v>95</v>
      </c>
      <c r="H18" s="14" t="s">
        <v>85</v>
      </c>
      <c r="I18" s="14" t="s">
        <v>85</v>
      </c>
      <c r="J18" s="14" t="s">
        <v>84</v>
      </c>
    </row>
    <row r="19">
      <c r="A19" s="24">
        <v>18.0</v>
      </c>
      <c r="B19" s="13" t="s">
        <v>38</v>
      </c>
      <c r="C19" s="26">
        <v>5000.0</v>
      </c>
      <c r="D19" s="14">
        <v>200.0</v>
      </c>
      <c r="E19" s="45">
        <f>C19*0.08</f>
        <v>400</v>
      </c>
      <c r="F19" s="45">
        <f t="shared" si="1"/>
        <v>5600</v>
      </c>
      <c r="G19" s="46" t="s">
        <v>95</v>
      </c>
      <c r="H19" s="14" t="s">
        <v>42</v>
      </c>
      <c r="I19" s="14" t="s">
        <v>52</v>
      </c>
      <c r="J19" s="14" t="s">
        <v>93</v>
      </c>
    </row>
    <row r="20">
      <c r="A20" s="24">
        <v>19.0</v>
      </c>
      <c r="B20" s="14" t="s">
        <v>40</v>
      </c>
      <c r="C20" s="26">
        <v>10000.0</v>
      </c>
      <c r="D20" s="14">
        <v>200.0</v>
      </c>
      <c r="E20" s="45">
        <f>C20*0.12</f>
        <v>1200</v>
      </c>
      <c r="F20" s="45">
        <f t="shared" si="1"/>
        <v>11400</v>
      </c>
      <c r="G20" s="46" t="s">
        <v>95</v>
      </c>
      <c r="H20" s="47" t="s">
        <v>68</v>
      </c>
      <c r="I20" s="47" t="s">
        <v>4</v>
      </c>
      <c r="J20" s="14" t="s">
        <v>93</v>
      </c>
    </row>
    <row r="21">
      <c r="A21" s="24">
        <v>20.0</v>
      </c>
      <c r="B21" s="13" t="s">
        <v>42</v>
      </c>
      <c r="C21" s="26">
        <v>3000.0</v>
      </c>
      <c r="D21" s="14">
        <v>200.0</v>
      </c>
      <c r="E21" s="45">
        <f t="shared" ref="E21:E23" si="3">C21*0.05</f>
        <v>150</v>
      </c>
      <c r="F21" s="45">
        <f t="shared" si="1"/>
        <v>3350</v>
      </c>
      <c r="G21" s="46" t="s">
        <v>95</v>
      </c>
      <c r="H21" s="50" t="s">
        <v>6</v>
      </c>
      <c r="I21" s="50" t="s">
        <v>38</v>
      </c>
      <c r="J21" s="14" t="s">
        <v>93</v>
      </c>
    </row>
    <row r="22">
      <c r="A22" s="24">
        <v>21.0</v>
      </c>
      <c r="B22" s="13" t="s">
        <v>44</v>
      </c>
      <c r="C22" s="26">
        <v>3000.0</v>
      </c>
      <c r="D22" s="14">
        <v>200.0</v>
      </c>
      <c r="E22" s="45">
        <f t="shared" si="3"/>
        <v>150</v>
      </c>
      <c r="F22" s="45">
        <f t="shared" si="1"/>
        <v>3350</v>
      </c>
      <c r="G22" s="46" t="s">
        <v>95</v>
      </c>
      <c r="H22" s="47" t="s">
        <v>6</v>
      </c>
      <c r="I22" s="47" t="s">
        <v>64</v>
      </c>
      <c r="J22" s="14" t="s">
        <v>93</v>
      </c>
    </row>
    <row r="23">
      <c r="A23" s="24">
        <v>22.0</v>
      </c>
      <c r="B23" s="2" t="s">
        <v>46</v>
      </c>
      <c r="C23" s="35">
        <v>0.0</v>
      </c>
      <c r="D23" s="14">
        <v>200.0</v>
      </c>
      <c r="E23" s="45">
        <f t="shared" si="3"/>
        <v>0</v>
      </c>
      <c r="F23" s="45">
        <f t="shared" si="1"/>
        <v>200</v>
      </c>
      <c r="G23" s="46" t="s">
        <v>95</v>
      </c>
      <c r="H23" s="14" t="s">
        <v>85</v>
      </c>
      <c r="I23" s="14" t="s">
        <v>85</v>
      </c>
      <c r="J23" s="14" t="s">
        <v>84</v>
      </c>
    </row>
    <row r="24">
      <c r="A24" s="24">
        <v>23.0</v>
      </c>
      <c r="B24" s="14" t="s">
        <v>89</v>
      </c>
      <c r="C24" s="26">
        <v>5000.0</v>
      </c>
      <c r="D24" s="14">
        <v>200.0</v>
      </c>
      <c r="E24" s="45">
        <f>C24*0.11</f>
        <v>550</v>
      </c>
      <c r="F24" s="45">
        <f t="shared" si="1"/>
        <v>5750</v>
      </c>
      <c r="G24" s="46" t="s">
        <v>95</v>
      </c>
      <c r="H24" s="14" t="s">
        <v>66</v>
      </c>
      <c r="I24" s="14" t="s">
        <v>58</v>
      </c>
      <c r="J24" s="14" t="s">
        <v>93</v>
      </c>
    </row>
    <row r="25">
      <c r="A25" s="24">
        <v>24.0</v>
      </c>
      <c r="B25" s="2" t="s">
        <v>50</v>
      </c>
      <c r="C25" s="26">
        <v>5000.0</v>
      </c>
      <c r="D25" s="14">
        <v>200.0</v>
      </c>
      <c r="E25" s="45">
        <f>C25*0.13</f>
        <v>650</v>
      </c>
      <c r="F25" s="45">
        <f t="shared" si="1"/>
        <v>5850</v>
      </c>
      <c r="G25" s="46" t="s">
        <v>95</v>
      </c>
      <c r="H25" s="14" t="s">
        <v>52</v>
      </c>
      <c r="I25" s="14" t="s">
        <v>4</v>
      </c>
      <c r="J25" s="14" t="s">
        <v>84</v>
      </c>
    </row>
    <row r="26">
      <c r="A26" s="24">
        <v>25.0</v>
      </c>
      <c r="B26" s="2" t="s">
        <v>52</v>
      </c>
      <c r="C26" s="26">
        <v>4000.0</v>
      </c>
      <c r="D26" s="14">
        <v>200.0</v>
      </c>
      <c r="E26" s="45">
        <f>C26*0.06</f>
        <v>240</v>
      </c>
      <c r="F26" s="45">
        <f t="shared" si="1"/>
        <v>4440</v>
      </c>
      <c r="G26" s="46" t="s">
        <v>95</v>
      </c>
      <c r="H26" s="14" t="s">
        <v>90</v>
      </c>
      <c r="I26" s="14" t="s">
        <v>4</v>
      </c>
      <c r="J26" s="14" t="s">
        <v>93</v>
      </c>
    </row>
    <row r="27">
      <c r="A27" s="24">
        <v>26.0</v>
      </c>
      <c r="B27" s="2" t="s">
        <v>54</v>
      </c>
      <c r="C27" s="26">
        <v>2500.0</v>
      </c>
      <c r="D27" s="14">
        <v>200.0</v>
      </c>
      <c r="E27" s="45">
        <f t="shared" ref="E27:E32" si="4">C27*0.05</f>
        <v>125</v>
      </c>
      <c r="F27" s="45">
        <f t="shared" si="1"/>
        <v>2825</v>
      </c>
      <c r="G27" s="46" t="s">
        <v>95</v>
      </c>
      <c r="H27" s="47" t="s">
        <v>56</v>
      </c>
      <c r="I27" s="47" t="s">
        <v>62</v>
      </c>
      <c r="J27" s="14" t="s">
        <v>84</v>
      </c>
    </row>
    <row r="28">
      <c r="A28" s="24">
        <v>27.0</v>
      </c>
      <c r="B28" s="2" t="s">
        <v>56</v>
      </c>
      <c r="C28" s="26">
        <v>0.0</v>
      </c>
      <c r="D28" s="14">
        <v>200.0</v>
      </c>
      <c r="E28" s="45">
        <f t="shared" si="4"/>
        <v>0</v>
      </c>
      <c r="F28" s="45">
        <f t="shared" si="1"/>
        <v>200</v>
      </c>
      <c r="G28" s="46" t="s">
        <v>95</v>
      </c>
      <c r="H28" s="14" t="s">
        <v>62</v>
      </c>
      <c r="I28" s="14" t="s">
        <v>54</v>
      </c>
      <c r="J28" s="14" t="s">
        <v>93</v>
      </c>
    </row>
    <row r="29">
      <c r="A29" s="24">
        <v>28.0</v>
      </c>
      <c r="B29" s="2" t="s">
        <v>58</v>
      </c>
      <c r="C29" s="26">
        <v>3000.0</v>
      </c>
      <c r="D29" s="14">
        <v>200.0</v>
      </c>
      <c r="E29" s="45">
        <f t="shared" si="4"/>
        <v>150</v>
      </c>
      <c r="F29" s="45">
        <f t="shared" si="1"/>
        <v>3350</v>
      </c>
      <c r="G29" s="46" t="s">
        <v>95</v>
      </c>
      <c r="H29" s="14" t="s">
        <v>64</v>
      </c>
      <c r="I29" s="2" t="s">
        <v>72</v>
      </c>
      <c r="J29" s="14" t="s">
        <v>93</v>
      </c>
    </row>
    <row r="30">
      <c r="A30" s="24">
        <v>29.0</v>
      </c>
      <c r="B30" s="2" t="s">
        <v>60</v>
      </c>
      <c r="C30" s="26">
        <v>2500.0</v>
      </c>
      <c r="D30" s="14">
        <v>200.0</v>
      </c>
      <c r="E30" s="45">
        <f t="shared" si="4"/>
        <v>125</v>
      </c>
      <c r="F30" s="45">
        <f t="shared" si="1"/>
        <v>2825</v>
      </c>
      <c r="G30" s="46" t="s">
        <v>95</v>
      </c>
      <c r="H30" s="14" t="s">
        <v>89</v>
      </c>
      <c r="I30" s="14" t="s">
        <v>66</v>
      </c>
      <c r="J30" s="14" t="s">
        <v>93</v>
      </c>
    </row>
    <row r="31">
      <c r="A31" s="24">
        <v>30.0</v>
      </c>
      <c r="B31" s="2" t="s">
        <v>62</v>
      </c>
      <c r="C31" s="26">
        <v>3000.0</v>
      </c>
      <c r="D31" s="14">
        <v>200.0</v>
      </c>
      <c r="E31" s="45">
        <f t="shared" si="4"/>
        <v>150</v>
      </c>
      <c r="F31" s="45">
        <f t="shared" si="1"/>
        <v>3350</v>
      </c>
      <c r="G31" s="46" t="s">
        <v>95</v>
      </c>
      <c r="H31" s="14" t="s">
        <v>56</v>
      </c>
      <c r="I31" s="14" t="s">
        <v>54</v>
      </c>
      <c r="J31" s="14" t="s">
        <v>84</v>
      </c>
    </row>
    <row r="32">
      <c r="A32" s="24">
        <v>31.0</v>
      </c>
      <c r="B32" s="2" t="s">
        <v>64</v>
      </c>
      <c r="C32" s="26">
        <v>3000.0</v>
      </c>
      <c r="D32" s="14">
        <v>200.0</v>
      </c>
      <c r="E32" s="45">
        <f t="shared" si="4"/>
        <v>150</v>
      </c>
      <c r="F32" s="45">
        <f t="shared" si="1"/>
        <v>3350</v>
      </c>
      <c r="G32" s="46" t="s">
        <v>95</v>
      </c>
      <c r="H32" s="14" t="s">
        <v>58</v>
      </c>
      <c r="I32" s="2" t="s">
        <v>72</v>
      </c>
      <c r="J32" s="14" t="s">
        <v>93</v>
      </c>
    </row>
    <row r="33">
      <c r="A33" s="24">
        <v>32.0</v>
      </c>
      <c r="B33" s="2" t="s">
        <v>66</v>
      </c>
      <c r="C33" s="26">
        <v>4000.0</v>
      </c>
      <c r="D33" s="14">
        <v>200.0</v>
      </c>
      <c r="E33" s="45">
        <f>C33*0.06</f>
        <v>240</v>
      </c>
      <c r="F33" s="45">
        <f t="shared" si="1"/>
        <v>4440</v>
      </c>
      <c r="G33" s="46" t="s">
        <v>95</v>
      </c>
      <c r="H33" s="14" t="s">
        <v>64</v>
      </c>
      <c r="I33" s="14" t="s">
        <v>89</v>
      </c>
      <c r="J33" s="14" t="s">
        <v>93</v>
      </c>
    </row>
    <row r="34">
      <c r="A34" s="24">
        <v>33.0</v>
      </c>
      <c r="B34" s="14" t="s">
        <v>70</v>
      </c>
      <c r="C34" s="35">
        <v>0.0</v>
      </c>
      <c r="D34" s="14">
        <v>200.0</v>
      </c>
      <c r="E34" s="45">
        <f>C34*0.05</f>
        <v>0</v>
      </c>
      <c r="F34" s="45">
        <f t="shared" si="1"/>
        <v>200</v>
      </c>
      <c r="G34" s="46" t="s">
        <v>95</v>
      </c>
      <c r="H34" s="14" t="s">
        <v>85</v>
      </c>
      <c r="I34" s="14" t="s">
        <v>85</v>
      </c>
      <c r="J34" s="14" t="s">
        <v>93</v>
      </c>
    </row>
    <row r="35">
      <c r="A35" s="24">
        <v>34.0</v>
      </c>
      <c r="B35" s="2" t="s">
        <v>72</v>
      </c>
      <c r="C35" s="26">
        <v>4000.0</v>
      </c>
      <c r="D35" s="14">
        <v>200.0</v>
      </c>
      <c r="E35" s="45">
        <f>C35*0.07</f>
        <v>280</v>
      </c>
      <c r="F35" s="45">
        <f t="shared" si="1"/>
        <v>4480</v>
      </c>
      <c r="G35" s="46" t="s">
        <v>95</v>
      </c>
      <c r="H35" s="50" t="s">
        <v>58</v>
      </c>
      <c r="I35" s="50" t="s">
        <v>52</v>
      </c>
      <c r="J35" s="14" t="s">
        <v>84</v>
      </c>
    </row>
    <row r="36">
      <c r="A36" s="24">
        <v>35.0</v>
      </c>
      <c r="B36" s="2" t="s">
        <v>68</v>
      </c>
      <c r="C36" s="26">
        <v>3000.0</v>
      </c>
      <c r="D36" s="14">
        <v>200.0</v>
      </c>
      <c r="E36" s="45">
        <f>C36*0.05</f>
        <v>150</v>
      </c>
      <c r="F36" s="45">
        <f t="shared" si="1"/>
        <v>3350</v>
      </c>
      <c r="G36" s="46" t="s">
        <v>95</v>
      </c>
      <c r="H36" s="50" t="s">
        <v>38</v>
      </c>
      <c r="I36" s="50" t="s">
        <v>42</v>
      </c>
      <c r="J36" s="14" t="s">
        <v>93</v>
      </c>
    </row>
    <row r="37">
      <c r="A37" s="14" t="s">
        <v>91</v>
      </c>
      <c r="B37" s="14" t="s">
        <v>91</v>
      </c>
      <c r="C37" s="51">
        <f t="shared" ref="C37:D37" si="5">SUM(C2:C36)</f>
        <v>104755</v>
      </c>
      <c r="D37" s="52">
        <f t="shared" si="5"/>
        <v>7000</v>
      </c>
      <c r="E37" s="51">
        <f>SUM(E2:E35)</f>
        <v>7497.75</v>
      </c>
      <c r="F37" s="51">
        <f>SUM(F2:F36)</f>
        <v>119402.75</v>
      </c>
      <c r="G37" s="53"/>
      <c r="H37" s="54"/>
      <c r="I37" s="54"/>
      <c r="J37" s="54"/>
    </row>
    <row r="38">
      <c r="A38" s="55"/>
      <c r="B38" s="55"/>
      <c r="C38" s="56"/>
      <c r="D38" s="57"/>
      <c r="E38" s="57"/>
      <c r="F38" s="57"/>
      <c r="G38" s="58"/>
      <c r="J38" s="59"/>
    </row>
  </sheetData>
  <autoFilter ref="$J$1:$J$37"/>
  <conditionalFormatting sqref="B2:B36 I29 I32">
    <cfRule type="notContainsBlanks" dxfId="0" priority="1">
      <formula>LEN(TRIM(B2))&gt;0</formula>
    </cfRule>
  </conditionalFormatting>
  <conditionalFormatting sqref="C2:C36">
    <cfRule type="notContainsBlanks" dxfId="1" priority="2">
      <formula>LEN(TRIM(C2))&gt;0</formula>
    </cfRule>
  </conditionalFormatting>
  <conditionalFormatting sqref="C1:C38">
    <cfRule type="notContainsBlanks" dxfId="5" priority="3">
      <formula>LEN(TRIM(C1))&gt;0</formula>
    </cfRule>
  </conditionalFormatting>
  <dataValidations>
    <dataValidation type="list" allowBlank="1" showErrorMessage="1" sqref="J1:J38">
      <formula1>"Pending,Status,Transferred,Settled,No Loan"</formula1>
    </dataValidation>
  </dataValidations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2.25"/>
    <col customWidth="1" min="3" max="3" width="10.13"/>
    <col customWidth="1" min="4" max="4" width="5.63"/>
    <col customWidth="1" min="5" max="5" width="9.13"/>
    <col customWidth="1" min="6" max="6" width="10.13"/>
    <col customWidth="1" min="7" max="7" width="10.25"/>
    <col customWidth="1" min="8" max="8" width="8.38"/>
    <col customWidth="1" min="9" max="9" width="6.88"/>
    <col customWidth="1" min="10" max="10" width="14.63"/>
  </cols>
  <sheetData>
    <row r="1">
      <c r="A1" s="43" t="s">
        <v>74</v>
      </c>
      <c r="B1" s="43" t="s">
        <v>1</v>
      </c>
      <c r="C1" s="43" t="s">
        <v>75</v>
      </c>
      <c r="D1" s="43" t="s">
        <v>76</v>
      </c>
      <c r="E1" s="43" t="s">
        <v>77</v>
      </c>
      <c r="F1" s="43" t="s">
        <v>78</v>
      </c>
      <c r="G1" s="44" t="s">
        <v>79</v>
      </c>
      <c r="H1" s="43" t="s">
        <v>80</v>
      </c>
      <c r="I1" s="43" t="s">
        <v>81</v>
      </c>
      <c r="J1" s="43" t="s">
        <v>82</v>
      </c>
    </row>
    <row r="2">
      <c r="A2" s="24">
        <v>1.0</v>
      </c>
      <c r="B2" s="6" t="s">
        <v>4</v>
      </c>
      <c r="C2" s="26">
        <v>5000.0</v>
      </c>
      <c r="D2" s="14">
        <v>200.0</v>
      </c>
      <c r="E2" s="45">
        <f t="shared" ref="E2:E36" si="1">C2*0.05</f>
        <v>250</v>
      </c>
      <c r="F2" s="45">
        <f t="shared" ref="F2:F37" si="2">C2+D2+E2</f>
        <v>5450</v>
      </c>
      <c r="G2" s="46" t="s">
        <v>95</v>
      </c>
      <c r="H2" s="14" t="s">
        <v>36</v>
      </c>
      <c r="I2" s="14" t="s">
        <v>6</v>
      </c>
      <c r="J2" s="14" t="s">
        <v>94</v>
      </c>
    </row>
    <row r="3">
      <c r="A3" s="24">
        <v>2.0</v>
      </c>
      <c r="B3" s="2" t="s">
        <v>6</v>
      </c>
      <c r="C3" s="26">
        <v>6000.0</v>
      </c>
      <c r="D3" s="14">
        <v>200.0</v>
      </c>
      <c r="E3" s="45">
        <f t="shared" si="1"/>
        <v>300</v>
      </c>
      <c r="F3" s="45">
        <f t="shared" si="2"/>
        <v>6500</v>
      </c>
      <c r="G3" s="46" t="s">
        <v>95</v>
      </c>
      <c r="H3" s="14" t="s">
        <v>42</v>
      </c>
      <c r="I3" s="14" t="s">
        <v>86</v>
      </c>
      <c r="J3" s="14" t="s">
        <v>94</v>
      </c>
    </row>
    <row r="4">
      <c r="A4" s="24">
        <v>3.0</v>
      </c>
      <c r="B4" s="2" t="s">
        <v>8</v>
      </c>
      <c r="C4" s="26">
        <v>7000.0</v>
      </c>
      <c r="D4" s="14">
        <v>200.0</v>
      </c>
      <c r="E4" s="45">
        <f t="shared" si="1"/>
        <v>350</v>
      </c>
      <c r="F4" s="45">
        <f t="shared" si="2"/>
        <v>7550</v>
      </c>
      <c r="G4" s="46" t="s">
        <v>95</v>
      </c>
      <c r="H4" s="14" t="s">
        <v>10</v>
      </c>
      <c r="I4" s="14" t="s">
        <v>12</v>
      </c>
      <c r="J4" s="14" t="s">
        <v>94</v>
      </c>
    </row>
    <row r="5">
      <c r="A5" s="24">
        <v>4.0</v>
      </c>
      <c r="B5" s="2" t="s">
        <v>10</v>
      </c>
      <c r="C5" s="26">
        <v>7000.0</v>
      </c>
      <c r="D5" s="14">
        <v>200.0</v>
      </c>
      <c r="E5" s="45">
        <f t="shared" si="1"/>
        <v>350</v>
      </c>
      <c r="F5" s="45">
        <f t="shared" si="2"/>
        <v>7550</v>
      </c>
      <c r="G5" s="46" t="s">
        <v>95</v>
      </c>
      <c r="H5" s="14" t="s">
        <v>6</v>
      </c>
      <c r="I5" s="14" t="s">
        <v>8</v>
      </c>
      <c r="J5" s="14" t="s">
        <v>94</v>
      </c>
    </row>
    <row r="6">
      <c r="A6" s="24">
        <v>5.0</v>
      </c>
      <c r="B6" s="2" t="s">
        <v>12</v>
      </c>
      <c r="C6" s="26">
        <v>7000.0</v>
      </c>
      <c r="D6" s="14">
        <v>200.0</v>
      </c>
      <c r="E6" s="45">
        <f t="shared" si="1"/>
        <v>350</v>
      </c>
      <c r="F6" s="45">
        <f t="shared" si="2"/>
        <v>7550</v>
      </c>
      <c r="G6" s="46" t="s">
        <v>95</v>
      </c>
      <c r="H6" s="14" t="s">
        <v>86</v>
      </c>
      <c r="I6" s="14" t="s">
        <v>6</v>
      </c>
      <c r="J6" s="14" t="s">
        <v>94</v>
      </c>
    </row>
    <row r="7">
      <c r="A7" s="24">
        <v>6.0</v>
      </c>
      <c r="B7" s="2" t="s">
        <v>14</v>
      </c>
      <c r="C7" s="35">
        <v>0.0</v>
      </c>
      <c r="D7" s="14">
        <v>200.0</v>
      </c>
      <c r="E7" s="45">
        <f t="shared" si="1"/>
        <v>0</v>
      </c>
      <c r="F7" s="45">
        <f t="shared" si="2"/>
        <v>200</v>
      </c>
      <c r="G7" s="46" t="s">
        <v>95</v>
      </c>
      <c r="H7" s="14" t="s">
        <v>85</v>
      </c>
      <c r="I7" s="14" t="s">
        <v>85</v>
      </c>
      <c r="J7" s="14" t="s">
        <v>93</v>
      </c>
    </row>
    <row r="8">
      <c r="A8" s="24">
        <v>7.0</v>
      </c>
      <c r="B8" s="2" t="s">
        <v>16</v>
      </c>
      <c r="C8" s="26">
        <v>3000.0</v>
      </c>
      <c r="D8" s="14">
        <v>200.0</v>
      </c>
      <c r="E8" s="45">
        <f t="shared" si="1"/>
        <v>150</v>
      </c>
      <c r="F8" s="45">
        <f t="shared" si="2"/>
        <v>3350</v>
      </c>
      <c r="G8" s="46" t="s">
        <v>95</v>
      </c>
      <c r="H8" s="14" t="s">
        <v>38</v>
      </c>
      <c r="I8" s="14" t="s">
        <v>40</v>
      </c>
      <c r="J8" s="14" t="s">
        <v>93</v>
      </c>
    </row>
    <row r="9">
      <c r="A9" s="24">
        <v>8.0</v>
      </c>
      <c r="B9" s="2" t="s">
        <v>18</v>
      </c>
      <c r="C9" s="26">
        <v>3600.0</v>
      </c>
      <c r="D9" s="14">
        <v>200.0</v>
      </c>
      <c r="E9" s="45">
        <f t="shared" si="1"/>
        <v>180</v>
      </c>
      <c r="F9" s="45">
        <f t="shared" si="2"/>
        <v>3980</v>
      </c>
      <c r="G9" s="46" t="s">
        <v>95</v>
      </c>
      <c r="H9" s="14" t="s">
        <v>12</v>
      </c>
      <c r="I9" s="14" t="s">
        <v>6</v>
      </c>
      <c r="J9" s="14" t="s">
        <v>93</v>
      </c>
    </row>
    <row r="10">
      <c r="A10" s="24">
        <v>9.0</v>
      </c>
      <c r="B10" s="2" t="s">
        <v>20</v>
      </c>
      <c r="C10" s="26">
        <v>0.0</v>
      </c>
      <c r="D10" s="14">
        <v>200.0</v>
      </c>
      <c r="E10" s="45">
        <f t="shared" si="1"/>
        <v>0</v>
      </c>
      <c r="F10" s="45">
        <f t="shared" si="2"/>
        <v>200</v>
      </c>
      <c r="G10" s="46" t="s">
        <v>95</v>
      </c>
      <c r="H10" s="14" t="s">
        <v>85</v>
      </c>
      <c r="I10" s="14" t="s">
        <v>85</v>
      </c>
      <c r="J10" s="14" t="s">
        <v>93</v>
      </c>
    </row>
    <row r="11">
      <c r="A11" s="24">
        <v>10.0</v>
      </c>
      <c r="B11" s="13" t="s">
        <v>22</v>
      </c>
      <c r="C11" s="26">
        <v>3000.0</v>
      </c>
      <c r="D11" s="14">
        <v>200.0</v>
      </c>
      <c r="E11" s="45">
        <f t="shared" si="1"/>
        <v>150</v>
      </c>
      <c r="F11" s="45">
        <f t="shared" si="2"/>
        <v>3350</v>
      </c>
      <c r="G11" s="46" t="s">
        <v>95</v>
      </c>
      <c r="H11" s="14" t="s">
        <v>50</v>
      </c>
      <c r="I11" s="14" t="s">
        <v>20</v>
      </c>
      <c r="J11" s="14" t="s">
        <v>93</v>
      </c>
    </row>
    <row r="12">
      <c r="A12" s="24">
        <v>11.0</v>
      </c>
      <c r="B12" s="14" t="s">
        <v>24</v>
      </c>
      <c r="C12" s="49">
        <v>3000.0</v>
      </c>
      <c r="D12" s="14">
        <v>200.0</v>
      </c>
      <c r="E12" s="45">
        <f t="shared" si="1"/>
        <v>150</v>
      </c>
      <c r="F12" s="45">
        <f t="shared" si="2"/>
        <v>3350</v>
      </c>
      <c r="G12" s="46" t="s">
        <v>95</v>
      </c>
      <c r="H12" s="14" t="s">
        <v>90</v>
      </c>
      <c r="I12" s="14" t="s">
        <v>50</v>
      </c>
      <c r="J12" s="14" t="s">
        <v>93</v>
      </c>
    </row>
    <row r="13">
      <c r="A13" s="24">
        <v>12.0</v>
      </c>
      <c r="B13" s="2" t="s">
        <v>26</v>
      </c>
      <c r="C13" s="26">
        <v>3000.0</v>
      </c>
      <c r="D13" s="14">
        <v>200.0</v>
      </c>
      <c r="E13" s="45">
        <f t="shared" si="1"/>
        <v>150</v>
      </c>
      <c r="F13" s="45">
        <f t="shared" si="2"/>
        <v>3350</v>
      </c>
      <c r="G13" s="46" t="s">
        <v>95</v>
      </c>
      <c r="H13" s="14" t="s">
        <v>52</v>
      </c>
      <c r="I13" s="14" t="s">
        <v>86</v>
      </c>
      <c r="J13" s="14" t="s">
        <v>93</v>
      </c>
    </row>
    <row r="14">
      <c r="A14" s="24">
        <v>13.0</v>
      </c>
      <c r="B14" s="13" t="s">
        <v>28</v>
      </c>
      <c r="C14" s="26">
        <v>3000.0</v>
      </c>
      <c r="D14" s="14">
        <v>200.0</v>
      </c>
      <c r="E14" s="45">
        <f t="shared" si="1"/>
        <v>150</v>
      </c>
      <c r="F14" s="45">
        <f t="shared" si="2"/>
        <v>3350</v>
      </c>
      <c r="G14" s="46" t="s">
        <v>95</v>
      </c>
      <c r="H14" s="14" t="s">
        <v>88</v>
      </c>
      <c r="I14" s="14" t="s">
        <v>86</v>
      </c>
      <c r="J14" s="14" t="s">
        <v>93</v>
      </c>
    </row>
    <row r="15">
      <c r="A15" s="24">
        <v>14.0</v>
      </c>
      <c r="B15" s="14" t="s">
        <v>30</v>
      </c>
      <c r="C15" s="35">
        <v>3000.0</v>
      </c>
      <c r="D15" s="14">
        <v>200.0</v>
      </c>
      <c r="E15" s="45">
        <f t="shared" si="1"/>
        <v>150</v>
      </c>
      <c r="F15" s="45">
        <f t="shared" si="2"/>
        <v>3350</v>
      </c>
      <c r="G15" s="46" t="s">
        <v>95</v>
      </c>
      <c r="H15" s="14" t="s">
        <v>88</v>
      </c>
      <c r="I15" s="14" t="s">
        <v>62</v>
      </c>
      <c r="J15" s="14" t="s">
        <v>93</v>
      </c>
    </row>
    <row r="16">
      <c r="A16" s="24">
        <v>15.0</v>
      </c>
      <c r="B16" s="2" t="s">
        <v>32</v>
      </c>
      <c r="C16" s="35">
        <v>0.0</v>
      </c>
      <c r="D16" s="14">
        <v>200.0</v>
      </c>
      <c r="E16" s="45">
        <f t="shared" si="1"/>
        <v>0</v>
      </c>
      <c r="F16" s="45">
        <f t="shared" si="2"/>
        <v>200</v>
      </c>
      <c r="G16" s="46" t="s">
        <v>95</v>
      </c>
      <c r="H16" s="14" t="s">
        <v>85</v>
      </c>
      <c r="I16" s="14" t="s">
        <v>85</v>
      </c>
      <c r="J16" s="14" t="s">
        <v>93</v>
      </c>
    </row>
    <row r="17">
      <c r="A17" s="24">
        <v>16.0</v>
      </c>
      <c r="B17" s="2" t="s">
        <v>34</v>
      </c>
      <c r="C17" s="35">
        <v>0.0</v>
      </c>
      <c r="D17" s="14">
        <v>200.0</v>
      </c>
      <c r="E17" s="45">
        <f t="shared" si="1"/>
        <v>0</v>
      </c>
      <c r="F17" s="45">
        <f t="shared" si="2"/>
        <v>200</v>
      </c>
      <c r="G17" s="46" t="s">
        <v>95</v>
      </c>
      <c r="H17" s="14" t="s">
        <v>85</v>
      </c>
      <c r="I17" s="14" t="s">
        <v>85</v>
      </c>
      <c r="J17" s="14" t="s">
        <v>93</v>
      </c>
    </row>
    <row r="18">
      <c r="A18" s="24">
        <v>17.0</v>
      </c>
      <c r="B18" s="2" t="s">
        <v>36</v>
      </c>
      <c r="C18" s="26">
        <v>0.0</v>
      </c>
      <c r="D18" s="14">
        <v>200.0</v>
      </c>
      <c r="E18" s="45">
        <f t="shared" si="1"/>
        <v>0</v>
      </c>
      <c r="F18" s="45">
        <f t="shared" si="2"/>
        <v>200</v>
      </c>
      <c r="G18" s="46" t="s">
        <v>95</v>
      </c>
      <c r="H18" s="14" t="s">
        <v>85</v>
      </c>
      <c r="I18" s="14" t="s">
        <v>85</v>
      </c>
      <c r="J18" s="14" t="s">
        <v>93</v>
      </c>
    </row>
    <row r="19">
      <c r="A19" s="24">
        <v>18.0</v>
      </c>
      <c r="B19" s="13" t="s">
        <v>38</v>
      </c>
      <c r="C19" s="26">
        <v>3000.0</v>
      </c>
      <c r="D19" s="14">
        <v>200.0</v>
      </c>
      <c r="E19" s="45">
        <f t="shared" si="1"/>
        <v>150</v>
      </c>
      <c r="F19" s="45">
        <f t="shared" si="2"/>
        <v>3350</v>
      </c>
      <c r="G19" s="46" t="s">
        <v>95</v>
      </c>
      <c r="H19" s="14" t="s">
        <v>40</v>
      </c>
      <c r="I19" s="14" t="s">
        <v>42</v>
      </c>
      <c r="J19" s="14" t="s">
        <v>93</v>
      </c>
    </row>
    <row r="20">
      <c r="A20" s="24">
        <v>19.0</v>
      </c>
      <c r="B20" s="14" t="s">
        <v>40</v>
      </c>
      <c r="C20" s="26">
        <v>3000.0</v>
      </c>
      <c r="D20" s="14">
        <v>200.0</v>
      </c>
      <c r="E20" s="45">
        <f t="shared" si="1"/>
        <v>150</v>
      </c>
      <c r="F20" s="45">
        <f t="shared" si="2"/>
        <v>3350</v>
      </c>
      <c r="G20" s="46" t="s">
        <v>95</v>
      </c>
      <c r="H20" s="14" t="s">
        <v>38</v>
      </c>
      <c r="I20" s="14" t="s">
        <v>68</v>
      </c>
      <c r="J20" s="14" t="s">
        <v>93</v>
      </c>
    </row>
    <row r="21">
      <c r="A21" s="24">
        <v>20.0</v>
      </c>
      <c r="B21" s="13" t="s">
        <v>42</v>
      </c>
      <c r="C21" s="26">
        <v>3000.0</v>
      </c>
      <c r="D21" s="14">
        <v>200.0</v>
      </c>
      <c r="E21" s="45">
        <f t="shared" si="1"/>
        <v>150</v>
      </c>
      <c r="F21" s="45">
        <f t="shared" si="2"/>
        <v>3350</v>
      </c>
      <c r="G21" s="46" t="s">
        <v>95</v>
      </c>
      <c r="H21" s="14" t="s">
        <v>38</v>
      </c>
      <c r="I21" s="14" t="s">
        <v>6</v>
      </c>
      <c r="J21" s="14" t="s">
        <v>93</v>
      </c>
    </row>
    <row r="22">
      <c r="A22" s="24">
        <v>21.0</v>
      </c>
      <c r="B22" s="13" t="s">
        <v>44</v>
      </c>
      <c r="C22" s="26">
        <v>3000.0</v>
      </c>
      <c r="D22" s="14">
        <v>200.0</v>
      </c>
      <c r="E22" s="45">
        <f t="shared" si="1"/>
        <v>150</v>
      </c>
      <c r="F22" s="45">
        <f t="shared" si="2"/>
        <v>3350</v>
      </c>
      <c r="G22" s="46" t="s">
        <v>95</v>
      </c>
      <c r="H22" s="14" t="s">
        <v>6</v>
      </c>
      <c r="I22" s="14" t="s">
        <v>64</v>
      </c>
      <c r="J22" s="14" t="s">
        <v>93</v>
      </c>
    </row>
    <row r="23">
      <c r="A23" s="24">
        <v>22.0</v>
      </c>
      <c r="B23" s="2" t="s">
        <v>46</v>
      </c>
      <c r="C23" s="35">
        <v>0.0</v>
      </c>
      <c r="D23" s="14">
        <v>200.0</v>
      </c>
      <c r="E23" s="45">
        <f t="shared" si="1"/>
        <v>0</v>
      </c>
      <c r="F23" s="45">
        <f t="shared" si="2"/>
        <v>200</v>
      </c>
      <c r="G23" s="46" t="s">
        <v>95</v>
      </c>
      <c r="H23" s="14" t="s">
        <v>85</v>
      </c>
      <c r="I23" s="14" t="s">
        <v>85</v>
      </c>
      <c r="J23" s="14" t="s">
        <v>93</v>
      </c>
    </row>
    <row r="24">
      <c r="A24" s="24">
        <v>23.0</v>
      </c>
      <c r="B24" s="14" t="s">
        <v>89</v>
      </c>
      <c r="C24" s="26">
        <v>2500.0</v>
      </c>
      <c r="D24" s="14">
        <v>200.0</v>
      </c>
      <c r="E24" s="45">
        <f t="shared" si="1"/>
        <v>125</v>
      </c>
      <c r="F24" s="45">
        <f t="shared" si="2"/>
        <v>2825</v>
      </c>
      <c r="G24" s="46" t="s">
        <v>95</v>
      </c>
      <c r="H24" s="14" t="s">
        <v>66</v>
      </c>
      <c r="I24" s="14" t="s">
        <v>58</v>
      </c>
      <c r="J24" s="14" t="s">
        <v>93</v>
      </c>
    </row>
    <row r="25">
      <c r="A25" s="24">
        <v>24.0</v>
      </c>
      <c r="B25" s="2" t="s">
        <v>50</v>
      </c>
      <c r="C25" s="26">
        <v>2500.0</v>
      </c>
      <c r="D25" s="14">
        <v>200.0</v>
      </c>
      <c r="E25" s="45">
        <f t="shared" si="1"/>
        <v>125</v>
      </c>
      <c r="F25" s="45">
        <f t="shared" si="2"/>
        <v>2825</v>
      </c>
      <c r="G25" s="46" t="s">
        <v>95</v>
      </c>
      <c r="H25" s="14" t="s">
        <v>52</v>
      </c>
      <c r="I25" s="14" t="s">
        <v>4</v>
      </c>
      <c r="J25" s="14" t="s">
        <v>93</v>
      </c>
    </row>
    <row r="26">
      <c r="A26" s="24">
        <v>25.0</v>
      </c>
      <c r="B26" s="2" t="s">
        <v>52</v>
      </c>
      <c r="C26" s="26">
        <v>2500.0</v>
      </c>
      <c r="D26" s="14">
        <v>200.0</v>
      </c>
      <c r="E26" s="45">
        <f t="shared" si="1"/>
        <v>125</v>
      </c>
      <c r="F26" s="45">
        <f t="shared" si="2"/>
        <v>2825</v>
      </c>
      <c r="G26" s="46" t="s">
        <v>95</v>
      </c>
      <c r="H26" s="14" t="s">
        <v>90</v>
      </c>
      <c r="I26" s="14" t="s">
        <v>4</v>
      </c>
      <c r="J26" s="14" t="s">
        <v>93</v>
      </c>
    </row>
    <row r="27">
      <c r="A27" s="24">
        <v>26.0</v>
      </c>
      <c r="B27" s="2" t="s">
        <v>54</v>
      </c>
      <c r="C27" s="26">
        <v>2500.0</v>
      </c>
      <c r="D27" s="14">
        <v>200.0</v>
      </c>
      <c r="E27" s="45">
        <f t="shared" si="1"/>
        <v>125</v>
      </c>
      <c r="F27" s="45">
        <f t="shared" si="2"/>
        <v>2825</v>
      </c>
      <c r="G27" s="46" t="s">
        <v>95</v>
      </c>
      <c r="H27" s="14" t="s">
        <v>52</v>
      </c>
      <c r="I27" s="14" t="s">
        <v>62</v>
      </c>
      <c r="J27" s="14" t="s">
        <v>93</v>
      </c>
    </row>
    <row r="28">
      <c r="A28" s="24">
        <v>27.0</v>
      </c>
      <c r="B28" s="2" t="s">
        <v>56</v>
      </c>
      <c r="C28" s="26">
        <v>2500.0</v>
      </c>
      <c r="D28" s="14">
        <v>200.0</v>
      </c>
      <c r="E28" s="45">
        <f t="shared" si="1"/>
        <v>125</v>
      </c>
      <c r="F28" s="45">
        <f t="shared" si="2"/>
        <v>2825</v>
      </c>
      <c r="G28" s="46" t="s">
        <v>95</v>
      </c>
      <c r="H28" s="14" t="s">
        <v>62</v>
      </c>
      <c r="I28" s="14" t="s">
        <v>54</v>
      </c>
      <c r="J28" s="14" t="s">
        <v>93</v>
      </c>
    </row>
    <row r="29">
      <c r="A29" s="24">
        <v>28.0</v>
      </c>
      <c r="B29" s="2" t="s">
        <v>58</v>
      </c>
      <c r="C29" s="26">
        <v>2500.0</v>
      </c>
      <c r="D29" s="14">
        <v>200.0</v>
      </c>
      <c r="E29" s="45">
        <f t="shared" si="1"/>
        <v>125</v>
      </c>
      <c r="F29" s="45">
        <f t="shared" si="2"/>
        <v>2825</v>
      </c>
      <c r="G29" s="46" t="s">
        <v>95</v>
      </c>
      <c r="H29" s="14" t="s">
        <v>64</v>
      </c>
      <c r="I29" s="2" t="s">
        <v>72</v>
      </c>
      <c r="J29" s="14" t="s">
        <v>93</v>
      </c>
    </row>
    <row r="30">
      <c r="A30" s="24">
        <v>29.0</v>
      </c>
      <c r="B30" s="2" t="s">
        <v>60</v>
      </c>
      <c r="C30" s="26">
        <v>2500.0</v>
      </c>
      <c r="D30" s="14">
        <v>200.0</v>
      </c>
      <c r="E30" s="45">
        <f t="shared" si="1"/>
        <v>125</v>
      </c>
      <c r="F30" s="45">
        <f t="shared" si="2"/>
        <v>2825</v>
      </c>
      <c r="G30" s="46" t="s">
        <v>95</v>
      </c>
      <c r="H30" s="14" t="s">
        <v>89</v>
      </c>
      <c r="I30" s="14" t="s">
        <v>66</v>
      </c>
      <c r="J30" s="14" t="s">
        <v>93</v>
      </c>
    </row>
    <row r="31">
      <c r="A31" s="24">
        <v>30.0</v>
      </c>
      <c r="B31" s="2" t="s">
        <v>62</v>
      </c>
      <c r="C31" s="26">
        <v>2500.0</v>
      </c>
      <c r="D31" s="14">
        <v>200.0</v>
      </c>
      <c r="E31" s="45">
        <f t="shared" si="1"/>
        <v>125</v>
      </c>
      <c r="F31" s="45">
        <f t="shared" si="2"/>
        <v>2825</v>
      </c>
      <c r="G31" s="46" t="s">
        <v>95</v>
      </c>
      <c r="H31" s="14" t="s">
        <v>56</v>
      </c>
      <c r="I31" s="14" t="s">
        <v>54</v>
      </c>
      <c r="J31" s="14" t="s">
        <v>93</v>
      </c>
    </row>
    <row r="32">
      <c r="A32" s="24">
        <v>31.0</v>
      </c>
      <c r="B32" s="2" t="s">
        <v>64</v>
      </c>
      <c r="C32" s="26">
        <v>2500.0</v>
      </c>
      <c r="D32" s="14">
        <v>200.0</v>
      </c>
      <c r="E32" s="45">
        <f t="shared" si="1"/>
        <v>125</v>
      </c>
      <c r="F32" s="45">
        <f t="shared" si="2"/>
        <v>2825</v>
      </c>
      <c r="G32" s="46" t="s">
        <v>95</v>
      </c>
      <c r="H32" s="14" t="s">
        <v>58</v>
      </c>
      <c r="I32" s="2" t="s">
        <v>72</v>
      </c>
      <c r="J32" s="14" t="s">
        <v>93</v>
      </c>
    </row>
    <row r="33">
      <c r="A33" s="24">
        <v>32.0</v>
      </c>
      <c r="B33" s="2" t="s">
        <v>66</v>
      </c>
      <c r="C33" s="26">
        <v>2500.0</v>
      </c>
      <c r="D33" s="14">
        <v>200.0</v>
      </c>
      <c r="E33" s="45">
        <f t="shared" si="1"/>
        <v>125</v>
      </c>
      <c r="F33" s="45">
        <f t="shared" si="2"/>
        <v>2825</v>
      </c>
      <c r="G33" s="46" t="s">
        <v>95</v>
      </c>
      <c r="H33" s="14" t="s">
        <v>64</v>
      </c>
      <c r="I33" s="14" t="s">
        <v>89</v>
      </c>
      <c r="J33" s="14" t="s">
        <v>93</v>
      </c>
    </row>
    <row r="34">
      <c r="A34" s="24">
        <v>33.0</v>
      </c>
      <c r="B34" s="14" t="s">
        <v>70</v>
      </c>
      <c r="C34" s="35">
        <v>0.0</v>
      </c>
      <c r="D34" s="14">
        <v>200.0</v>
      </c>
      <c r="E34" s="45">
        <f t="shared" si="1"/>
        <v>0</v>
      </c>
      <c r="F34" s="45">
        <f t="shared" si="2"/>
        <v>200</v>
      </c>
      <c r="G34" s="46" t="s">
        <v>95</v>
      </c>
      <c r="H34" s="14" t="s">
        <v>85</v>
      </c>
      <c r="I34" s="14" t="s">
        <v>85</v>
      </c>
      <c r="J34" s="14" t="s">
        <v>93</v>
      </c>
    </row>
    <row r="35">
      <c r="A35" s="24">
        <v>34.0</v>
      </c>
      <c r="B35" s="2" t="s">
        <v>72</v>
      </c>
      <c r="C35" s="26">
        <v>2500.0</v>
      </c>
      <c r="D35" s="14">
        <v>200.0</v>
      </c>
      <c r="E35" s="45">
        <f t="shared" si="1"/>
        <v>125</v>
      </c>
      <c r="F35" s="45">
        <f t="shared" si="2"/>
        <v>2825</v>
      </c>
      <c r="G35" s="46" t="s">
        <v>95</v>
      </c>
      <c r="H35" s="14" t="s">
        <v>64</v>
      </c>
      <c r="I35" s="14" t="s">
        <v>52</v>
      </c>
      <c r="J35" s="14" t="s">
        <v>93</v>
      </c>
    </row>
    <row r="36">
      <c r="A36" s="24">
        <v>35.0</v>
      </c>
      <c r="B36" s="2" t="s">
        <v>68</v>
      </c>
      <c r="C36" s="35">
        <v>0.0</v>
      </c>
      <c r="D36" s="14">
        <v>200.0</v>
      </c>
      <c r="E36" s="45">
        <f t="shared" si="1"/>
        <v>0</v>
      </c>
      <c r="F36" s="45">
        <f t="shared" si="2"/>
        <v>200</v>
      </c>
      <c r="G36" s="46" t="s">
        <v>95</v>
      </c>
      <c r="H36" s="14" t="s">
        <v>85</v>
      </c>
      <c r="I36" s="14" t="s">
        <v>85</v>
      </c>
      <c r="J36" s="14" t="s">
        <v>93</v>
      </c>
    </row>
    <row r="37">
      <c r="A37" s="14" t="s">
        <v>91</v>
      </c>
      <c r="B37" s="14" t="s">
        <v>91</v>
      </c>
      <c r="C37" s="51">
        <f t="shared" ref="C37:D37" si="3">SUM(C2:C36)</f>
        <v>93100</v>
      </c>
      <c r="D37" s="52">
        <f t="shared" si="3"/>
        <v>7000</v>
      </c>
      <c r="E37" s="51">
        <f>SUM(E2:E35)</f>
        <v>4655</v>
      </c>
      <c r="F37" s="51">
        <f t="shared" si="2"/>
        <v>104755</v>
      </c>
      <c r="G37" s="53"/>
      <c r="H37" s="54"/>
      <c r="I37" s="54"/>
      <c r="J37" s="54"/>
    </row>
    <row r="38">
      <c r="A38" s="55"/>
      <c r="B38" s="55"/>
      <c r="C38" s="57"/>
      <c r="D38" s="57"/>
      <c r="E38" s="57"/>
      <c r="F38" s="57"/>
      <c r="G38" s="58"/>
      <c r="J38" s="59"/>
    </row>
  </sheetData>
  <autoFilter ref="$J$1:$J$37"/>
  <conditionalFormatting sqref="B2:B36 I29 I32">
    <cfRule type="notContainsBlanks" dxfId="0" priority="1">
      <formula>LEN(TRIM(B2))&gt;0</formula>
    </cfRule>
  </conditionalFormatting>
  <conditionalFormatting sqref="C2:C36">
    <cfRule type="notContainsBlanks" dxfId="1" priority="2">
      <formula>LEN(TRIM(C2))&gt;0</formula>
    </cfRule>
  </conditionalFormatting>
  <conditionalFormatting sqref="C1:C38">
    <cfRule type="notContainsBlanks" dxfId="5" priority="3">
      <formula>LEN(TRIM(C1))&gt;0</formula>
    </cfRule>
  </conditionalFormatting>
  <dataValidations>
    <dataValidation type="list" allowBlank="1" showErrorMessage="1" sqref="J1:J38">
      <formula1>"Pending,Status,Transferred,Settled,No Loan"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2.25"/>
    <col customWidth="1" min="3" max="3" width="10.13"/>
    <col customWidth="1" min="4" max="4" width="5.63"/>
    <col customWidth="1" min="5" max="5" width="9.13"/>
    <col customWidth="1" min="6" max="6" width="10.13"/>
    <col customWidth="1" min="7" max="7" width="10.25"/>
    <col customWidth="1" min="8" max="8" width="8.38"/>
    <col customWidth="1" min="9" max="9" width="6.88"/>
    <col customWidth="1" min="10" max="10" width="14.63"/>
  </cols>
  <sheetData>
    <row r="1">
      <c r="A1" s="60" t="s">
        <v>74</v>
      </c>
      <c r="B1" s="60" t="s">
        <v>1</v>
      </c>
      <c r="C1" s="60" t="s">
        <v>75</v>
      </c>
      <c r="D1" s="60" t="s">
        <v>76</v>
      </c>
      <c r="E1" s="60" t="s">
        <v>77</v>
      </c>
      <c r="F1" s="60" t="s">
        <v>78</v>
      </c>
      <c r="G1" s="61" t="s">
        <v>79</v>
      </c>
      <c r="H1" s="60" t="s">
        <v>80</v>
      </c>
      <c r="I1" s="60" t="s">
        <v>81</v>
      </c>
      <c r="J1" s="60" t="s">
        <v>82</v>
      </c>
    </row>
    <row r="2">
      <c r="A2" s="62">
        <v>1.0</v>
      </c>
      <c r="B2" s="63" t="s">
        <v>4</v>
      </c>
      <c r="C2" s="64">
        <v>7000.0</v>
      </c>
      <c r="D2" s="65">
        <v>200.0</v>
      </c>
      <c r="E2" s="66">
        <f t="shared" ref="E2:E36" si="1">C2*0.05</f>
        <v>350</v>
      </c>
      <c r="F2" s="66">
        <f t="shared" ref="F2:F37" si="2">C2+D2+E2</f>
        <v>7550</v>
      </c>
      <c r="G2" s="67" t="s">
        <v>95</v>
      </c>
      <c r="H2" s="65" t="s">
        <v>36</v>
      </c>
      <c r="I2" s="65" t="s">
        <v>24</v>
      </c>
      <c r="J2" s="65" t="s">
        <v>93</v>
      </c>
    </row>
    <row r="3">
      <c r="A3" s="62">
        <v>2.0</v>
      </c>
      <c r="B3" s="68" t="s">
        <v>6</v>
      </c>
      <c r="C3" s="64">
        <v>5400.0</v>
      </c>
      <c r="D3" s="65">
        <v>200.0</v>
      </c>
      <c r="E3" s="66">
        <f t="shared" si="1"/>
        <v>270</v>
      </c>
      <c r="F3" s="66">
        <f t="shared" si="2"/>
        <v>5870</v>
      </c>
      <c r="G3" s="67" t="s">
        <v>95</v>
      </c>
      <c r="H3" s="65" t="s">
        <v>4</v>
      </c>
      <c r="I3" s="65" t="s">
        <v>42</v>
      </c>
      <c r="J3" s="65" t="s">
        <v>93</v>
      </c>
    </row>
    <row r="4">
      <c r="A4" s="62">
        <v>3.0</v>
      </c>
      <c r="B4" s="68" t="s">
        <v>8</v>
      </c>
      <c r="C4" s="64">
        <v>5400.0</v>
      </c>
      <c r="D4" s="65">
        <v>200.0</v>
      </c>
      <c r="E4" s="66">
        <f t="shared" si="1"/>
        <v>270</v>
      </c>
      <c r="F4" s="66">
        <f t="shared" si="2"/>
        <v>5870</v>
      </c>
      <c r="G4" s="67" t="s">
        <v>95</v>
      </c>
      <c r="H4" s="65" t="s">
        <v>6</v>
      </c>
      <c r="I4" s="65" t="s">
        <v>10</v>
      </c>
      <c r="J4" s="65" t="s">
        <v>93</v>
      </c>
    </row>
    <row r="5">
      <c r="A5" s="62">
        <v>4.0</v>
      </c>
      <c r="B5" s="68" t="s">
        <v>10</v>
      </c>
      <c r="C5" s="64">
        <v>7000.0</v>
      </c>
      <c r="D5" s="65">
        <v>200.0</v>
      </c>
      <c r="E5" s="66">
        <f t="shared" si="1"/>
        <v>350</v>
      </c>
      <c r="F5" s="66">
        <f t="shared" si="2"/>
        <v>7550</v>
      </c>
      <c r="G5" s="67" t="s">
        <v>95</v>
      </c>
      <c r="H5" s="65" t="s">
        <v>6</v>
      </c>
      <c r="I5" s="68" t="s">
        <v>8</v>
      </c>
      <c r="J5" s="65" t="s">
        <v>93</v>
      </c>
    </row>
    <row r="6">
      <c r="A6" s="62">
        <v>5.0</v>
      </c>
      <c r="B6" s="68" t="s">
        <v>12</v>
      </c>
      <c r="C6" s="64">
        <v>5400.0</v>
      </c>
      <c r="D6" s="65">
        <v>200.0</v>
      </c>
      <c r="E6" s="66">
        <f t="shared" si="1"/>
        <v>270</v>
      </c>
      <c r="F6" s="66">
        <f t="shared" si="2"/>
        <v>5870</v>
      </c>
      <c r="G6" s="67" t="s">
        <v>95</v>
      </c>
      <c r="H6" s="65" t="s">
        <v>56</v>
      </c>
      <c r="I6" s="65" t="s">
        <v>36</v>
      </c>
      <c r="J6" s="65" t="s">
        <v>93</v>
      </c>
    </row>
    <row r="7">
      <c r="A7" s="62">
        <v>6.0</v>
      </c>
      <c r="B7" s="68" t="s">
        <v>14</v>
      </c>
      <c r="C7" s="64">
        <v>0.0</v>
      </c>
      <c r="D7" s="65">
        <v>200.0</v>
      </c>
      <c r="E7" s="66">
        <f t="shared" si="1"/>
        <v>0</v>
      </c>
      <c r="F7" s="66">
        <f t="shared" si="2"/>
        <v>200</v>
      </c>
      <c r="G7" s="67" t="s">
        <v>95</v>
      </c>
      <c r="H7" s="65" t="s">
        <v>85</v>
      </c>
      <c r="I7" s="65" t="s">
        <v>85</v>
      </c>
      <c r="J7" s="65" t="s">
        <v>93</v>
      </c>
    </row>
    <row r="8">
      <c r="A8" s="62">
        <v>7.0</v>
      </c>
      <c r="B8" s="68" t="s">
        <v>16</v>
      </c>
      <c r="C8" s="64">
        <v>400.0</v>
      </c>
      <c r="D8" s="65">
        <v>200.0</v>
      </c>
      <c r="E8" s="66">
        <f t="shared" si="1"/>
        <v>20</v>
      </c>
      <c r="F8" s="66">
        <f t="shared" si="2"/>
        <v>620</v>
      </c>
      <c r="G8" s="67" t="s">
        <v>95</v>
      </c>
      <c r="H8" s="65" t="s">
        <v>12</v>
      </c>
      <c r="I8" s="65" t="s">
        <v>86</v>
      </c>
      <c r="J8" s="65" t="s">
        <v>93</v>
      </c>
    </row>
    <row r="9">
      <c r="A9" s="62">
        <v>8.0</v>
      </c>
      <c r="B9" s="68" t="s">
        <v>18</v>
      </c>
      <c r="C9" s="64">
        <v>400.0</v>
      </c>
      <c r="D9" s="65">
        <v>200.0</v>
      </c>
      <c r="E9" s="66">
        <f t="shared" si="1"/>
        <v>20</v>
      </c>
      <c r="F9" s="66">
        <f t="shared" si="2"/>
        <v>620</v>
      </c>
      <c r="G9" s="67" t="s">
        <v>95</v>
      </c>
      <c r="H9" s="65" t="s">
        <v>16</v>
      </c>
      <c r="I9" s="65" t="s">
        <v>6</v>
      </c>
      <c r="J9" s="65" t="s">
        <v>93</v>
      </c>
    </row>
    <row r="10">
      <c r="A10" s="62">
        <v>9.0</v>
      </c>
      <c r="B10" s="68" t="s">
        <v>20</v>
      </c>
      <c r="C10" s="69">
        <v>0.0</v>
      </c>
      <c r="D10" s="65">
        <v>200.0</v>
      </c>
      <c r="E10" s="66">
        <f t="shared" si="1"/>
        <v>0</v>
      </c>
      <c r="F10" s="66">
        <f t="shared" si="2"/>
        <v>200</v>
      </c>
      <c r="G10" s="67" t="s">
        <v>95</v>
      </c>
      <c r="H10" s="65" t="s">
        <v>85</v>
      </c>
      <c r="I10" s="65" t="s">
        <v>85</v>
      </c>
      <c r="J10" s="65" t="s">
        <v>93</v>
      </c>
    </row>
    <row r="11">
      <c r="A11" s="62">
        <v>10.0</v>
      </c>
      <c r="B11" s="68" t="s">
        <v>22</v>
      </c>
      <c r="C11" s="64">
        <v>0.0</v>
      </c>
      <c r="D11" s="65">
        <v>200.0</v>
      </c>
      <c r="E11" s="66">
        <f t="shared" si="1"/>
        <v>0</v>
      </c>
      <c r="F11" s="66">
        <f t="shared" si="2"/>
        <v>200</v>
      </c>
      <c r="G11" s="67" t="s">
        <v>95</v>
      </c>
      <c r="H11" s="65" t="s">
        <v>85</v>
      </c>
      <c r="I11" s="65" t="s">
        <v>85</v>
      </c>
      <c r="J11" s="65" t="s">
        <v>93</v>
      </c>
    </row>
    <row r="12">
      <c r="A12" s="62">
        <v>11.0</v>
      </c>
      <c r="B12" s="65" t="s">
        <v>24</v>
      </c>
      <c r="C12" s="70">
        <v>4000.0</v>
      </c>
      <c r="D12" s="65">
        <v>200.0</v>
      </c>
      <c r="E12" s="66">
        <f t="shared" si="1"/>
        <v>200</v>
      </c>
      <c r="F12" s="66">
        <f t="shared" si="2"/>
        <v>4400</v>
      </c>
      <c r="G12" s="67" t="s">
        <v>95</v>
      </c>
      <c r="H12" s="65" t="s">
        <v>16</v>
      </c>
      <c r="I12" s="65" t="s">
        <v>6</v>
      </c>
      <c r="J12" s="65" t="s">
        <v>93</v>
      </c>
    </row>
    <row r="13">
      <c r="A13" s="62">
        <v>12.0</v>
      </c>
      <c r="B13" s="68" t="s">
        <v>26</v>
      </c>
      <c r="C13" s="64">
        <v>2000.0</v>
      </c>
      <c r="D13" s="65">
        <v>200.0</v>
      </c>
      <c r="E13" s="66">
        <f t="shared" si="1"/>
        <v>100</v>
      </c>
      <c r="F13" s="66">
        <f t="shared" si="2"/>
        <v>2300</v>
      </c>
      <c r="G13" s="67" t="s">
        <v>95</v>
      </c>
      <c r="H13" s="65" t="s">
        <v>86</v>
      </c>
      <c r="I13" s="65" t="s">
        <v>52</v>
      </c>
      <c r="J13" s="65" t="s">
        <v>93</v>
      </c>
    </row>
    <row r="14">
      <c r="A14" s="62">
        <v>13.0</v>
      </c>
      <c r="B14" s="68" t="s">
        <v>28</v>
      </c>
      <c r="C14" s="64">
        <v>2000.0</v>
      </c>
      <c r="D14" s="65">
        <v>200.0</v>
      </c>
      <c r="E14" s="66">
        <f t="shared" si="1"/>
        <v>100</v>
      </c>
      <c r="F14" s="66">
        <f t="shared" si="2"/>
        <v>2300</v>
      </c>
      <c r="G14" s="67" t="s">
        <v>95</v>
      </c>
      <c r="H14" s="65" t="s">
        <v>16</v>
      </c>
      <c r="I14" s="65" t="s">
        <v>86</v>
      </c>
      <c r="J14" s="65" t="s">
        <v>93</v>
      </c>
    </row>
    <row r="15">
      <c r="A15" s="62">
        <v>14.0</v>
      </c>
      <c r="B15" s="65" t="s">
        <v>30</v>
      </c>
      <c r="C15" s="64">
        <v>3000.0</v>
      </c>
      <c r="D15" s="65">
        <v>200.0</v>
      </c>
      <c r="E15" s="66">
        <f t="shared" si="1"/>
        <v>150</v>
      </c>
      <c r="F15" s="66">
        <f t="shared" si="2"/>
        <v>3350</v>
      </c>
      <c r="G15" s="67" t="s">
        <v>95</v>
      </c>
      <c r="H15" s="65" t="s">
        <v>88</v>
      </c>
      <c r="I15" s="65" t="s">
        <v>62</v>
      </c>
      <c r="J15" s="65" t="s">
        <v>93</v>
      </c>
    </row>
    <row r="16">
      <c r="A16" s="62">
        <v>15.0</v>
      </c>
      <c r="B16" s="68" t="s">
        <v>32</v>
      </c>
      <c r="C16" s="64">
        <v>0.0</v>
      </c>
      <c r="D16" s="65">
        <v>200.0</v>
      </c>
      <c r="E16" s="66">
        <f t="shared" si="1"/>
        <v>0</v>
      </c>
      <c r="F16" s="66">
        <f t="shared" si="2"/>
        <v>200</v>
      </c>
      <c r="G16" s="67" t="s">
        <v>95</v>
      </c>
      <c r="H16" s="65" t="s">
        <v>85</v>
      </c>
      <c r="I16" s="65" t="s">
        <v>85</v>
      </c>
      <c r="J16" s="65" t="s">
        <v>93</v>
      </c>
    </row>
    <row r="17">
      <c r="A17" s="62">
        <v>16.0</v>
      </c>
      <c r="B17" s="68" t="s">
        <v>34</v>
      </c>
      <c r="C17" s="64">
        <v>0.0</v>
      </c>
      <c r="D17" s="65">
        <v>200.0</v>
      </c>
      <c r="E17" s="66">
        <f t="shared" si="1"/>
        <v>0</v>
      </c>
      <c r="F17" s="66">
        <f t="shared" si="2"/>
        <v>200</v>
      </c>
      <c r="G17" s="67" t="s">
        <v>95</v>
      </c>
      <c r="H17" s="65" t="s">
        <v>85</v>
      </c>
      <c r="I17" s="65" t="s">
        <v>85</v>
      </c>
      <c r="J17" s="65" t="s">
        <v>93</v>
      </c>
    </row>
    <row r="18">
      <c r="A18" s="62">
        <v>17.0</v>
      </c>
      <c r="B18" s="68" t="s">
        <v>36</v>
      </c>
      <c r="C18" s="64">
        <v>2000.0</v>
      </c>
      <c r="D18" s="65">
        <v>200.0</v>
      </c>
      <c r="E18" s="66">
        <f t="shared" si="1"/>
        <v>100</v>
      </c>
      <c r="F18" s="66">
        <f t="shared" si="2"/>
        <v>2300</v>
      </c>
      <c r="G18" s="67" t="s">
        <v>95</v>
      </c>
      <c r="H18" s="65" t="s">
        <v>16</v>
      </c>
      <c r="I18" s="65" t="s">
        <v>6</v>
      </c>
      <c r="J18" s="65" t="s">
        <v>93</v>
      </c>
    </row>
    <row r="19">
      <c r="A19" s="62">
        <v>18.0</v>
      </c>
      <c r="B19" s="68" t="s">
        <v>38</v>
      </c>
      <c r="C19" s="64">
        <v>4000.0</v>
      </c>
      <c r="D19" s="65">
        <v>200.0</v>
      </c>
      <c r="E19" s="66">
        <f t="shared" si="1"/>
        <v>200</v>
      </c>
      <c r="F19" s="66">
        <f t="shared" si="2"/>
        <v>4400</v>
      </c>
      <c r="G19" s="67" t="s">
        <v>95</v>
      </c>
      <c r="H19" s="65" t="s">
        <v>42</v>
      </c>
      <c r="I19" s="65" t="s">
        <v>40</v>
      </c>
      <c r="J19" s="65" t="s">
        <v>93</v>
      </c>
    </row>
    <row r="20">
      <c r="A20" s="62">
        <v>19.0</v>
      </c>
      <c r="B20" s="65" t="s">
        <v>40</v>
      </c>
      <c r="C20" s="64">
        <v>4000.0</v>
      </c>
      <c r="D20" s="65">
        <v>200.0</v>
      </c>
      <c r="E20" s="66">
        <f t="shared" si="1"/>
        <v>200</v>
      </c>
      <c r="F20" s="66">
        <f t="shared" si="2"/>
        <v>4400</v>
      </c>
      <c r="G20" s="67" t="s">
        <v>95</v>
      </c>
      <c r="H20" s="65" t="s">
        <v>38</v>
      </c>
      <c r="I20" s="65" t="s">
        <v>96</v>
      </c>
      <c r="J20" s="65" t="s">
        <v>93</v>
      </c>
    </row>
    <row r="21">
      <c r="A21" s="62">
        <v>20.0</v>
      </c>
      <c r="B21" s="68" t="s">
        <v>42</v>
      </c>
      <c r="C21" s="64">
        <v>4000.0</v>
      </c>
      <c r="D21" s="65">
        <v>200.0</v>
      </c>
      <c r="E21" s="66">
        <f t="shared" si="1"/>
        <v>200</v>
      </c>
      <c r="F21" s="66">
        <f t="shared" si="2"/>
        <v>4400</v>
      </c>
      <c r="G21" s="67" t="s">
        <v>95</v>
      </c>
      <c r="H21" s="65" t="s">
        <v>50</v>
      </c>
      <c r="I21" s="65" t="s">
        <v>30</v>
      </c>
      <c r="J21" s="65" t="s">
        <v>93</v>
      </c>
    </row>
    <row r="22">
      <c r="A22" s="62">
        <v>21.0</v>
      </c>
      <c r="B22" s="68" t="s">
        <v>44</v>
      </c>
      <c r="C22" s="64">
        <v>0.0</v>
      </c>
      <c r="D22" s="65">
        <v>200.0</v>
      </c>
      <c r="E22" s="66">
        <f t="shared" si="1"/>
        <v>0</v>
      </c>
      <c r="F22" s="66">
        <f t="shared" si="2"/>
        <v>200</v>
      </c>
      <c r="G22" s="67" t="s">
        <v>95</v>
      </c>
      <c r="H22" s="65" t="s">
        <v>85</v>
      </c>
      <c r="I22" s="65" t="s">
        <v>85</v>
      </c>
      <c r="J22" s="65" t="s">
        <v>93</v>
      </c>
    </row>
    <row r="23">
      <c r="A23" s="62">
        <v>22.0</v>
      </c>
      <c r="B23" s="68" t="s">
        <v>46</v>
      </c>
      <c r="C23" s="64">
        <v>0.0</v>
      </c>
      <c r="D23" s="65">
        <v>200.0</v>
      </c>
      <c r="E23" s="66">
        <f t="shared" si="1"/>
        <v>0</v>
      </c>
      <c r="F23" s="66">
        <f t="shared" si="2"/>
        <v>200</v>
      </c>
      <c r="G23" s="67" t="s">
        <v>95</v>
      </c>
      <c r="H23" s="65" t="s">
        <v>85</v>
      </c>
      <c r="I23" s="65" t="s">
        <v>85</v>
      </c>
      <c r="J23" s="65" t="s">
        <v>93</v>
      </c>
    </row>
    <row r="24">
      <c r="A24" s="62">
        <v>23.0</v>
      </c>
      <c r="B24" s="65" t="s">
        <v>48</v>
      </c>
      <c r="C24" s="64">
        <v>3000.0</v>
      </c>
      <c r="D24" s="65">
        <v>200.0</v>
      </c>
      <c r="E24" s="66">
        <f t="shared" si="1"/>
        <v>150</v>
      </c>
      <c r="F24" s="66">
        <f t="shared" si="2"/>
        <v>3350</v>
      </c>
      <c r="G24" s="67" t="s">
        <v>95</v>
      </c>
      <c r="H24" s="65" t="s">
        <v>66</v>
      </c>
      <c r="I24" s="65" t="s">
        <v>52</v>
      </c>
      <c r="J24" s="65" t="s">
        <v>93</v>
      </c>
    </row>
    <row r="25">
      <c r="A25" s="62">
        <v>24.0</v>
      </c>
      <c r="B25" s="68" t="s">
        <v>50</v>
      </c>
      <c r="C25" s="64">
        <v>3000.0</v>
      </c>
      <c r="D25" s="65">
        <v>200.0</v>
      </c>
      <c r="E25" s="66">
        <f t="shared" si="1"/>
        <v>150</v>
      </c>
      <c r="F25" s="66">
        <f t="shared" si="2"/>
        <v>3350</v>
      </c>
      <c r="G25" s="67" t="s">
        <v>95</v>
      </c>
      <c r="H25" s="65" t="s">
        <v>97</v>
      </c>
      <c r="I25" s="65" t="s">
        <v>98</v>
      </c>
      <c r="J25" s="65" t="s">
        <v>93</v>
      </c>
    </row>
    <row r="26">
      <c r="A26" s="62">
        <v>25.0</v>
      </c>
      <c r="B26" s="68" t="s">
        <v>52</v>
      </c>
      <c r="C26" s="64">
        <v>3000.0</v>
      </c>
      <c r="D26" s="65">
        <v>200.0</v>
      </c>
      <c r="E26" s="66">
        <f t="shared" si="1"/>
        <v>150</v>
      </c>
      <c r="F26" s="66">
        <f t="shared" si="2"/>
        <v>3350</v>
      </c>
      <c r="G26" s="67" t="s">
        <v>95</v>
      </c>
      <c r="H26" s="65" t="s">
        <v>4</v>
      </c>
      <c r="I26" s="65" t="s">
        <v>90</v>
      </c>
      <c r="J26" s="65" t="s">
        <v>93</v>
      </c>
    </row>
    <row r="27">
      <c r="A27" s="62">
        <v>26.0</v>
      </c>
      <c r="B27" s="68" t="s">
        <v>54</v>
      </c>
      <c r="C27" s="64">
        <v>3000.0</v>
      </c>
      <c r="D27" s="65">
        <v>200.0</v>
      </c>
      <c r="E27" s="66">
        <f t="shared" si="1"/>
        <v>150</v>
      </c>
      <c r="F27" s="66">
        <f t="shared" si="2"/>
        <v>3350</v>
      </c>
      <c r="G27" s="67" t="s">
        <v>95</v>
      </c>
      <c r="H27" s="65" t="s">
        <v>99</v>
      </c>
      <c r="I27" s="65" t="s">
        <v>85</v>
      </c>
      <c r="J27" s="65" t="s">
        <v>93</v>
      </c>
    </row>
    <row r="28">
      <c r="A28" s="62">
        <v>27.0</v>
      </c>
      <c r="B28" s="68" t="s">
        <v>56</v>
      </c>
      <c r="C28" s="64">
        <v>2000.0</v>
      </c>
      <c r="D28" s="65">
        <v>200.0</v>
      </c>
      <c r="E28" s="66">
        <f t="shared" si="1"/>
        <v>100</v>
      </c>
      <c r="F28" s="66">
        <f t="shared" si="2"/>
        <v>2300</v>
      </c>
      <c r="G28" s="67" t="s">
        <v>95</v>
      </c>
      <c r="H28" s="65" t="s">
        <v>99</v>
      </c>
      <c r="I28" s="65" t="s">
        <v>54</v>
      </c>
      <c r="J28" s="65" t="s">
        <v>93</v>
      </c>
    </row>
    <row r="29">
      <c r="A29" s="62">
        <v>28.0</v>
      </c>
      <c r="B29" s="68" t="s">
        <v>58</v>
      </c>
      <c r="C29" s="64">
        <v>3000.0</v>
      </c>
      <c r="D29" s="65">
        <v>200.0</v>
      </c>
      <c r="E29" s="66">
        <f t="shared" si="1"/>
        <v>150</v>
      </c>
      <c r="F29" s="66">
        <f t="shared" si="2"/>
        <v>3350</v>
      </c>
      <c r="G29" s="67" t="s">
        <v>95</v>
      </c>
      <c r="H29" s="65" t="s">
        <v>100</v>
      </c>
      <c r="I29" s="65" t="s">
        <v>101</v>
      </c>
      <c r="J29" s="65" t="s">
        <v>93</v>
      </c>
    </row>
    <row r="30">
      <c r="A30" s="62">
        <v>29.0</v>
      </c>
      <c r="B30" s="68" t="s">
        <v>60</v>
      </c>
      <c r="C30" s="64">
        <v>3000.0</v>
      </c>
      <c r="D30" s="65">
        <v>200.0</v>
      </c>
      <c r="E30" s="66">
        <f t="shared" si="1"/>
        <v>150</v>
      </c>
      <c r="F30" s="66">
        <f t="shared" si="2"/>
        <v>3350</v>
      </c>
      <c r="G30" s="67" t="s">
        <v>95</v>
      </c>
      <c r="H30" s="65" t="s">
        <v>66</v>
      </c>
      <c r="I30" s="65" t="s">
        <v>89</v>
      </c>
      <c r="J30" s="65" t="s">
        <v>93</v>
      </c>
    </row>
    <row r="31">
      <c r="A31" s="62">
        <v>30.0</v>
      </c>
      <c r="B31" s="68" t="s">
        <v>62</v>
      </c>
      <c r="C31" s="64">
        <v>0.0</v>
      </c>
      <c r="D31" s="65">
        <v>200.0</v>
      </c>
      <c r="E31" s="66">
        <f t="shared" si="1"/>
        <v>0</v>
      </c>
      <c r="F31" s="66">
        <f t="shared" si="2"/>
        <v>200</v>
      </c>
      <c r="G31" s="67" t="s">
        <v>95</v>
      </c>
      <c r="H31" s="65" t="s">
        <v>85</v>
      </c>
      <c r="I31" s="65" t="s">
        <v>85</v>
      </c>
      <c r="J31" s="65" t="s">
        <v>93</v>
      </c>
    </row>
    <row r="32">
      <c r="A32" s="62">
        <v>31.0</v>
      </c>
      <c r="B32" s="68" t="s">
        <v>64</v>
      </c>
      <c r="C32" s="64">
        <v>0.0</v>
      </c>
      <c r="D32" s="65">
        <v>200.0</v>
      </c>
      <c r="E32" s="66">
        <f t="shared" si="1"/>
        <v>0</v>
      </c>
      <c r="F32" s="66">
        <f t="shared" si="2"/>
        <v>200</v>
      </c>
      <c r="G32" s="67" t="s">
        <v>95</v>
      </c>
      <c r="H32" s="65" t="s">
        <v>85</v>
      </c>
      <c r="I32" s="65" t="s">
        <v>85</v>
      </c>
      <c r="J32" s="65" t="s">
        <v>93</v>
      </c>
    </row>
    <row r="33">
      <c r="A33" s="62">
        <v>32.0</v>
      </c>
      <c r="B33" s="68" t="s">
        <v>66</v>
      </c>
      <c r="C33" s="64">
        <v>3000.0</v>
      </c>
      <c r="D33" s="65">
        <v>200.0</v>
      </c>
      <c r="E33" s="66">
        <f t="shared" si="1"/>
        <v>150</v>
      </c>
      <c r="F33" s="66">
        <f t="shared" si="2"/>
        <v>3350</v>
      </c>
      <c r="G33" s="67" t="s">
        <v>95</v>
      </c>
      <c r="H33" s="65" t="s">
        <v>89</v>
      </c>
      <c r="I33" s="65" t="s">
        <v>60</v>
      </c>
      <c r="J33" s="65" t="s">
        <v>93</v>
      </c>
    </row>
    <row r="34">
      <c r="A34" s="62">
        <v>33.0</v>
      </c>
      <c r="B34" s="65" t="s">
        <v>70</v>
      </c>
      <c r="C34" s="64">
        <v>0.0</v>
      </c>
      <c r="D34" s="65">
        <v>200.0</v>
      </c>
      <c r="E34" s="66">
        <f t="shared" si="1"/>
        <v>0</v>
      </c>
      <c r="F34" s="66">
        <f t="shared" si="2"/>
        <v>200</v>
      </c>
      <c r="G34" s="67" t="s">
        <v>95</v>
      </c>
      <c r="H34" s="65" t="s">
        <v>85</v>
      </c>
      <c r="I34" s="65" t="s">
        <v>85</v>
      </c>
      <c r="J34" s="65" t="s">
        <v>93</v>
      </c>
    </row>
    <row r="35">
      <c r="A35" s="62">
        <v>34.0</v>
      </c>
      <c r="B35" s="68" t="s">
        <v>72</v>
      </c>
      <c r="C35" s="64">
        <v>3000.0</v>
      </c>
      <c r="D35" s="65">
        <v>200.0</v>
      </c>
      <c r="E35" s="66">
        <f t="shared" si="1"/>
        <v>150</v>
      </c>
      <c r="F35" s="66">
        <f t="shared" si="2"/>
        <v>3350</v>
      </c>
      <c r="G35" s="67" t="s">
        <v>95</v>
      </c>
      <c r="H35" s="65" t="s">
        <v>52</v>
      </c>
      <c r="I35" s="65" t="s">
        <v>85</v>
      </c>
      <c r="J35" s="65" t="s">
        <v>93</v>
      </c>
    </row>
    <row r="36">
      <c r="A36" s="62">
        <v>35.0</v>
      </c>
      <c r="B36" s="68" t="s">
        <v>68</v>
      </c>
      <c r="C36" s="64">
        <v>0.0</v>
      </c>
      <c r="D36" s="65">
        <v>200.0</v>
      </c>
      <c r="E36" s="66">
        <f t="shared" si="1"/>
        <v>0</v>
      </c>
      <c r="F36" s="66">
        <f t="shared" si="2"/>
        <v>200</v>
      </c>
      <c r="G36" s="67" t="s">
        <v>95</v>
      </c>
      <c r="H36" s="65" t="s">
        <v>85</v>
      </c>
      <c r="I36" s="65" t="s">
        <v>85</v>
      </c>
      <c r="J36" s="65" t="s">
        <v>93</v>
      </c>
    </row>
    <row r="37">
      <c r="A37" s="65" t="s">
        <v>91</v>
      </c>
      <c r="B37" s="65" t="s">
        <v>91</v>
      </c>
      <c r="C37" s="71">
        <f t="shared" ref="C37:D37" si="3">SUM(C2:C36)</f>
        <v>82000</v>
      </c>
      <c r="D37" s="72">
        <f t="shared" si="3"/>
        <v>7000</v>
      </c>
      <c r="E37" s="71">
        <f>SUM(E2:E35)</f>
        <v>4100</v>
      </c>
      <c r="F37" s="71">
        <f t="shared" si="2"/>
        <v>93100</v>
      </c>
      <c r="G37" s="73"/>
      <c r="H37" s="74"/>
      <c r="I37" s="74"/>
      <c r="J37" s="74"/>
    </row>
  </sheetData>
  <autoFilter ref="$J$1:$J$37"/>
  <conditionalFormatting sqref="B2:B36 I5">
    <cfRule type="notContainsBlanks" dxfId="0" priority="1">
      <formula>LEN(TRIM(B2))&gt;0</formula>
    </cfRule>
  </conditionalFormatting>
  <conditionalFormatting sqref="C2:C36">
    <cfRule type="notContainsBlanks" dxfId="1" priority="2">
      <formula>LEN(TRIM(C2))&gt;0</formula>
    </cfRule>
  </conditionalFormatting>
  <conditionalFormatting sqref="C1:C37">
    <cfRule type="notContainsBlanks" dxfId="5" priority="3">
      <formula>LEN(TRIM(C1))&gt;0</formula>
    </cfRule>
  </conditionalFormatting>
  <dataValidations>
    <dataValidation type="list" allowBlank="1" showErrorMessage="1" sqref="J1:J37">
      <formula1>"Pending,Status,Transferred,Settled"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5" t="s">
        <v>102</v>
      </c>
      <c r="B1" s="76" t="s">
        <v>103</v>
      </c>
      <c r="C1" s="76" t="s">
        <v>75</v>
      </c>
      <c r="D1" s="76" t="s">
        <v>104</v>
      </c>
      <c r="E1" s="76" t="s">
        <v>105</v>
      </c>
      <c r="F1" s="76" t="s">
        <v>106</v>
      </c>
    </row>
    <row r="2">
      <c r="A2" s="77" t="s">
        <v>107</v>
      </c>
      <c r="B2" s="78">
        <v>82000.0</v>
      </c>
      <c r="C2" s="79">
        <v>82000.0</v>
      </c>
      <c r="D2" s="80">
        <f t="shared" ref="D2:D3" si="1">C2*0.05</f>
        <v>4100</v>
      </c>
      <c r="E2" s="80">
        <v>7000.0</v>
      </c>
      <c r="F2" s="81">
        <f t="shared" ref="F2:F7" si="2">C2+D2+E2</f>
        <v>93100</v>
      </c>
    </row>
    <row r="3">
      <c r="A3" s="82" t="s">
        <v>108</v>
      </c>
      <c r="B3" s="83">
        <v>93100.0</v>
      </c>
      <c r="C3" s="83">
        <v>93100.0</v>
      </c>
      <c r="D3" s="80">
        <f t="shared" si="1"/>
        <v>4655</v>
      </c>
      <c r="E3" s="80">
        <v>7000.0</v>
      </c>
      <c r="F3" s="81">
        <f t="shared" si="2"/>
        <v>104755</v>
      </c>
    </row>
    <row r="4">
      <c r="A4" s="82" t="s">
        <v>109</v>
      </c>
      <c r="B4" s="83">
        <v>104755.0</v>
      </c>
      <c r="C4" s="83">
        <v>104755.0</v>
      </c>
      <c r="D4" s="28">
        <v>7497.75</v>
      </c>
      <c r="E4" s="80">
        <v>7000.0</v>
      </c>
      <c r="F4" s="81">
        <f t="shared" si="2"/>
        <v>119252.75</v>
      </c>
    </row>
    <row r="5">
      <c r="A5" s="82" t="s">
        <v>110</v>
      </c>
      <c r="B5" s="83">
        <v>119252.75</v>
      </c>
      <c r="C5" s="83">
        <v>119252.75</v>
      </c>
      <c r="D5" s="28">
        <v>11262.6375</v>
      </c>
      <c r="E5" s="80">
        <v>7000.0</v>
      </c>
      <c r="F5" s="81">
        <f t="shared" si="2"/>
        <v>137515.3875</v>
      </c>
    </row>
    <row r="6">
      <c r="A6" s="82" t="s">
        <v>111</v>
      </c>
      <c r="B6" s="81">
        <v>137515.3875</v>
      </c>
      <c r="C6" s="78">
        <v>137520.0</v>
      </c>
      <c r="D6" s="84">
        <v>16976.0</v>
      </c>
      <c r="E6" s="80">
        <v>7000.0</v>
      </c>
      <c r="F6" s="85">
        <f t="shared" si="2"/>
        <v>161496</v>
      </c>
    </row>
    <row r="7">
      <c r="A7" s="82" t="s">
        <v>112</v>
      </c>
      <c r="B7" s="85">
        <v>161496.0</v>
      </c>
      <c r="C7" s="83">
        <v>161500.0</v>
      </c>
      <c r="D7" s="84">
        <v>21920.0</v>
      </c>
      <c r="E7" s="80">
        <v>7000.0</v>
      </c>
      <c r="F7" s="85">
        <f t="shared" si="2"/>
        <v>190420</v>
      </c>
    </row>
  </sheetData>
  <drawing r:id="rId1"/>
</worksheet>
</file>